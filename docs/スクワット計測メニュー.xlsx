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設定" sheetId="1" state="visible" r:id="rId3"/>
    <sheet name="A_ヘビー" sheetId="2" state="visible" r:id="rId4"/>
    <sheet name="B_ミディアム" sheetId="3" state="visible" r:id="rId5"/>
    <sheet name="C_ボリューム" sheetId="4" state="visible" r:id="rId6"/>
    <sheet name="記録ログ" sheetId="5" state="visible" r:id="rId7"/>
    <sheet name="使い方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<sst xmlns="http://schemas.openxmlformats.org/spreadsheetml/2006/main" count="238" uniqueCount="100">
  <si>
    <t xml:space="preserve">スクワット メニュー自動計算シート</t>
  </si>
  <si>
    <t xml:space="preserve">▼ ここだけ入力してください</t>
  </si>
  <si>
    <r>
      <rPr>
        <b val="true"/>
        <sz val="11"/>
        <rFont val="Arial"/>
        <family val="0"/>
        <charset val="1"/>
      </rPr>
      <t xml:space="preserve">1RM</t>
    </r>
    <r>
      <rPr>
        <b val="true"/>
        <sz val="11"/>
        <rFont val="Noto Sans CJK SC"/>
        <family val="2"/>
      </rPr>
      <t xml:space="preserve">（最大挙上重量）</t>
    </r>
  </si>
  <si>
    <t xml:space="preserve">kg</t>
  </si>
  <si>
    <t xml:space="preserve">実測値または信頼できる推定値</t>
  </si>
  <si>
    <t xml:space="preserve">バー重量</t>
  </si>
  <si>
    <r>
      <rPr>
        <i val="true"/>
        <sz val="9"/>
        <color rgb="FF808080"/>
        <rFont val="Noto Sans CJK SC"/>
        <family val="2"/>
      </rPr>
      <t xml:space="preserve">通常のオリンピックバーは</t>
    </r>
    <r>
      <rPr>
        <i val="true"/>
        <sz val="9"/>
        <color rgb="FF808080"/>
        <rFont val="Arial"/>
        <family val="0"/>
        <charset val="1"/>
      </rPr>
      <t xml:space="preserve">20kg</t>
    </r>
  </si>
  <si>
    <t xml:space="preserve">丸め単位</t>
  </si>
  <si>
    <r>
      <rPr>
        <i val="true"/>
        <sz val="9"/>
        <color rgb="FF808080"/>
        <rFont val="Noto Sans CJK SC"/>
        <family val="2"/>
      </rPr>
      <t xml:space="preserve">使えるプレートの最小ペア（</t>
    </r>
    <r>
      <rPr>
        <i val="true"/>
        <sz val="9"/>
        <color rgb="FF808080"/>
        <rFont val="Arial"/>
        <family val="0"/>
        <charset val="1"/>
      </rPr>
      <t xml:space="preserve">1.25kg</t>
    </r>
    <r>
      <rPr>
        <i val="true"/>
        <sz val="9"/>
        <color rgb="FF808080"/>
        <rFont val="Noto Sans CJK SC"/>
        <family val="2"/>
      </rPr>
      <t xml:space="preserve">ペア</t>
    </r>
    <r>
      <rPr>
        <i val="true"/>
        <sz val="9"/>
        <color rgb="FF808080"/>
        <rFont val="Arial"/>
        <family val="0"/>
        <charset val="1"/>
      </rPr>
      <t xml:space="preserve">=2.5kg</t>
    </r>
    <r>
      <rPr>
        <i val="true"/>
        <sz val="9"/>
        <color rgb="FF808080"/>
        <rFont val="Noto Sans CJK SC"/>
        <family val="2"/>
      </rPr>
      <t xml:space="preserve">）</t>
    </r>
  </si>
  <si>
    <t xml:space="preserve">※ 青文字のセルが入力欄です。他のシートの重量は自動で更新されます。</t>
  </si>
  <si>
    <r>
      <rPr>
        <b val="true"/>
        <sz val="12"/>
        <color rgb="FF2F5597"/>
        <rFont val="Arial"/>
        <family val="0"/>
        <charset val="1"/>
      </rPr>
      <t xml:space="preserve">%1RM </t>
    </r>
    <r>
      <rPr>
        <b val="true"/>
        <sz val="12"/>
        <color rgb="FF2F5597"/>
        <rFont val="Noto Sans CJK SC"/>
        <family val="2"/>
      </rPr>
      <t xml:space="preserve">早見表</t>
    </r>
  </si>
  <si>
    <t xml:space="preserve">%1RM</t>
  </si>
  <si>
    <r>
      <rPr>
        <b val="true"/>
        <sz val="11"/>
        <color rgb="FFFFFFFF"/>
        <rFont val="Noto Sans CJK SC"/>
        <family val="2"/>
      </rPr>
      <t xml:space="preserve">重量 </t>
    </r>
    <r>
      <rPr>
        <b val="true"/>
        <sz val="11"/>
        <color rgb="FFFFFFFF"/>
        <rFont val="Arial"/>
        <family val="0"/>
        <charset val="1"/>
      </rPr>
      <t xml:space="preserve">(kg)</t>
    </r>
  </si>
  <si>
    <r>
      <rPr>
        <b val="true"/>
        <sz val="11"/>
        <color rgb="FFFFFFFF"/>
        <rFont val="Noto Sans CJK SC"/>
        <family val="2"/>
      </rPr>
      <t xml:space="preserve">片側 </t>
    </r>
    <r>
      <rPr>
        <b val="true"/>
        <sz val="11"/>
        <color rgb="FFFFFFFF"/>
        <rFont val="Arial"/>
        <family val="0"/>
        <charset val="1"/>
      </rPr>
      <t xml:space="preserve">(kg)</t>
    </r>
  </si>
  <si>
    <t xml:space="preserve">プレート内訳（片側）</t>
  </si>
  <si>
    <r>
      <rPr>
        <b val="true"/>
        <sz val="16"/>
        <color rgb="FF1F3864"/>
        <rFont val="Noto Sans CJK SC"/>
        <family val="2"/>
      </rPr>
      <t xml:space="preserve">セッション </t>
    </r>
    <r>
      <rPr>
        <b val="true"/>
        <sz val="16"/>
        <color rgb="FF1F3864"/>
        <rFont val="Arial"/>
        <family val="0"/>
        <charset val="1"/>
      </rPr>
      <t xml:space="preserve">A </t>
    </r>
    <r>
      <rPr>
        <b val="true"/>
        <sz val="16"/>
        <color rgb="FF1F3864"/>
        <rFont val="Noto Sans CJK SC"/>
        <family val="2"/>
      </rPr>
      <t xml:space="preserve">： ヘビー（高強度・低レップ）</t>
    </r>
  </si>
  <si>
    <r>
      <rPr>
        <sz val="10"/>
        <color rgb="FF808080"/>
        <rFont val="Noto Sans CJK SC"/>
        <family val="2"/>
      </rPr>
      <t xml:space="preserve">狙う </t>
    </r>
    <r>
      <rPr>
        <sz val="10"/>
        <color rgb="FF808080"/>
        <rFont val="Arial"/>
        <family val="0"/>
        <charset val="1"/>
      </rPr>
      <t xml:space="preserve">RPE </t>
    </r>
    <r>
      <rPr>
        <sz val="10"/>
        <color rgb="FF808080"/>
        <rFont val="Noto Sans CJK SC"/>
        <family val="2"/>
      </rPr>
      <t xml:space="preserve">帯：</t>
    </r>
    <r>
      <rPr>
        <sz val="10"/>
        <color rgb="FF808080"/>
        <rFont val="Arial"/>
        <family val="0"/>
        <charset val="1"/>
      </rPr>
      <t xml:space="preserve">7</t>
    </r>
    <r>
      <rPr>
        <sz val="10"/>
        <color rgb="FF808080"/>
        <rFont val="Noto Sans CJK SC"/>
        <family val="2"/>
      </rPr>
      <t xml:space="preserve">〜</t>
    </r>
    <r>
      <rPr>
        <sz val="10"/>
        <color rgb="FF808080"/>
        <rFont val="Arial"/>
        <family val="0"/>
        <charset val="1"/>
      </rPr>
      <t xml:space="preserve">10 </t>
    </r>
    <r>
      <rPr>
        <sz val="10"/>
        <color rgb="FF808080"/>
        <rFont val="Noto Sans CJK SC"/>
        <family val="2"/>
      </rPr>
      <t xml:space="preserve">／ 記録セット </t>
    </r>
    <r>
      <rPr>
        <sz val="10"/>
        <color rgb="FF808080"/>
        <rFont val="Arial"/>
        <family val="0"/>
        <charset val="1"/>
      </rPr>
      <t xml:space="preserve">6</t>
    </r>
    <r>
      <rPr>
        <sz val="10"/>
        <color rgb="FF808080"/>
        <rFont val="Noto Sans CJK SC"/>
        <family val="2"/>
      </rPr>
      <t xml:space="preserve">本 ／ 所要 約</t>
    </r>
    <r>
      <rPr>
        <sz val="10"/>
        <color rgb="FF808080"/>
        <rFont val="Arial"/>
        <family val="0"/>
        <charset val="1"/>
      </rPr>
      <t xml:space="preserve">60</t>
    </r>
    <r>
      <rPr>
        <sz val="10"/>
        <color rgb="FF808080"/>
        <rFont val="Noto Sans CJK SC"/>
        <family val="2"/>
      </rPr>
      <t xml:space="preserve">分</t>
    </r>
  </si>
  <si>
    <t xml:space="preserve">1RM</t>
  </si>
  <si>
    <t xml:space="preserve">← 変更は「設定」シートで</t>
  </si>
  <si>
    <t xml:space="preserve">#</t>
  </si>
  <si>
    <t xml:space="preserve">区分</t>
  </si>
  <si>
    <t xml:space="preserve">レップ</t>
  </si>
  <si>
    <r>
      <rPr>
        <b val="true"/>
        <sz val="11"/>
        <color rgb="FFFFFFFF"/>
        <rFont val="Noto Sans CJK SC"/>
        <family val="2"/>
      </rPr>
      <t xml:space="preserve">重量</t>
    </r>
    <r>
      <rPr>
        <b val="true"/>
        <sz val="11"/>
        <color rgb="FFFFFFFF"/>
        <rFont val="Arial"/>
        <family val="0"/>
        <charset val="1"/>
      </rPr>
      <t xml:space="preserve">(kg)</t>
    </r>
  </si>
  <si>
    <r>
      <rPr>
        <b val="true"/>
        <sz val="11"/>
        <color rgb="FFFFFFFF"/>
        <rFont val="Noto Sans CJK SC"/>
        <family val="2"/>
      </rPr>
      <t xml:space="preserve">片側</t>
    </r>
    <r>
      <rPr>
        <b val="true"/>
        <sz val="11"/>
        <color rgb="FFFFFFFF"/>
        <rFont val="Arial"/>
        <family val="0"/>
        <charset val="1"/>
      </rPr>
      <t xml:space="preserve">(kg)</t>
    </r>
  </si>
  <si>
    <t xml:space="preserve">休憩</t>
  </si>
  <si>
    <r>
      <rPr>
        <b val="true"/>
        <sz val="11"/>
        <color rgb="FFFFFFFF"/>
        <rFont val="Noto Sans CJK SC"/>
        <family val="2"/>
      </rPr>
      <t xml:space="preserve">想定</t>
    </r>
    <r>
      <rPr>
        <b val="true"/>
        <sz val="11"/>
        <color rgb="FFFFFFFF"/>
        <rFont val="Arial"/>
        <family val="0"/>
        <charset val="1"/>
      </rPr>
      <t xml:space="preserve">RPE</t>
    </r>
  </si>
  <si>
    <r>
      <rPr>
        <b val="true"/>
        <sz val="11"/>
        <color rgb="FFFFFFFF"/>
        <rFont val="Noto Sans CJK SC"/>
        <family val="2"/>
      </rPr>
      <t xml:space="preserve">実</t>
    </r>
    <r>
      <rPr>
        <b val="true"/>
        <sz val="11"/>
        <color rgb="FFFFFFFF"/>
        <rFont val="Arial"/>
        <family val="0"/>
        <charset val="1"/>
      </rPr>
      <t xml:space="preserve">RPE</t>
    </r>
  </si>
  <si>
    <t xml:space="preserve">メモ</t>
  </si>
  <si>
    <t xml:space="preserve">W</t>
  </si>
  <si>
    <t xml:space="preserve">W/UP</t>
  </si>
  <si>
    <t xml:space="preserve">—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</si>
  <si>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分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</si>
  <si>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分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</si>
  <si>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分</t>
    </r>
  </si>
  <si>
    <t xml:space="preserve">記録</t>
  </si>
  <si>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分</t>
    </r>
  </si>
  <si>
    <t xml:space="preserve">7-8</t>
  </si>
  <si>
    <t xml:space="preserve">8</t>
  </si>
  <si>
    <r>
      <rPr>
        <sz val="11"/>
        <color rgb="FF000000"/>
        <rFont val="Arial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分</t>
    </r>
  </si>
  <si>
    <t xml:space="preserve">8-9</t>
  </si>
  <si>
    <t xml:space="preserve">9</t>
  </si>
  <si>
    <t xml:space="preserve">9-10</t>
  </si>
  <si>
    <r>
      <rPr>
        <sz val="10"/>
        <color rgb="FFC55A11"/>
        <rFont val="Arial"/>
        <family val="0"/>
        <charset val="1"/>
      </rPr>
      <t xml:space="preserve">■ RPE </t>
    </r>
    <r>
      <rPr>
        <sz val="10"/>
        <color rgb="FFC55A11"/>
        <rFont val="Noto Sans CJK SC"/>
        <family val="2"/>
      </rPr>
      <t xml:space="preserve">は挙上直後</t>
    </r>
    <r>
      <rPr>
        <sz val="10"/>
        <color rgb="FFC55A11"/>
        <rFont val="Arial"/>
        <family val="0"/>
        <charset val="1"/>
      </rPr>
      <t xml:space="preserve">15</t>
    </r>
    <r>
      <rPr>
        <sz val="10"/>
        <color rgb="FFC55A11"/>
        <rFont val="Noto Sans CJK SC"/>
        <family val="2"/>
      </rPr>
      <t xml:space="preserve">秒以内に、</t>
    </r>
    <r>
      <rPr>
        <sz val="10"/>
        <color rgb="FFC55A11"/>
        <rFont val="Arial"/>
        <family val="0"/>
        <charset val="1"/>
      </rPr>
      <t xml:space="preserve">PC</t>
    </r>
    <r>
      <rPr>
        <sz val="10"/>
        <color rgb="FFC55A11"/>
        <rFont val="Noto Sans CJK SC"/>
        <family val="2"/>
      </rPr>
      <t xml:space="preserve">の画面を見る前に口頭で言ってから記録する（数値を見てから決めない）</t>
    </r>
  </si>
  <si>
    <r>
      <rPr>
        <sz val="10"/>
        <color rgb="FFC55A11"/>
        <rFont val="Noto Sans CJK SC"/>
        <family val="2"/>
      </rPr>
      <t xml:space="preserve">■ 一度記録した </t>
    </r>
    <r>
      <rPr>
        <sz val="10"/>
        <color rgb="FFC55A11"/>
        <rFont val="Arial"/>
        <family val="0"/>
        <charset val="1"/>
      </rPr>
      <t xml:space="preserve">RPE </t>
    </r>
    <r>
      <rPr>
        <sz val="10"/>
        <color rgb="FFC55A11"/>
        <rFont val="Noto Sans CJK SC"/>
        <family val="2"/>
      </rPr>
      <t xml:space="preserve">は後から変更しない</t>
    </r>
  </si>
  <si>
    <r>
      <rPr>
        <sz val="10"/>
        <color rgb="FFC55A11"/>
        <rFont val="Noto Sans CJK SC"/>
        <family val="2"/>
      </rPr>
      <t xml:space="preserve">■ 想定</t>
    </r>
    <r>
      <rPr>
        <sz val="10"/>
        <color rgb="FFC55A11"/>
        <rFont val="Arial"/>
        <family val="0"/>
        <charset val="1"/>
      </rPr>
      <t xml:space="preserve">RPE </t>
    </r>
    <r>
      <rPr>
        <sz val="10"/>
        <color rgb="FFC55A11"/>
        <rFont val="Noto Sans CJK SC"/>
        <family val="2"/>
      </rPr>
      <t xml:space="preserve">はあくまで目安。実際の申告値が想定と違っても、そのまま記録する</t>
    </r>
  </si>
  <si>
    <t xml:space="preserve">■ 体調が悪い日は重量を落としてよい。ただし実際に挙げた重量をメモ欄に記入する</t>
  </si>
  <si>
    <r>
      <rPr>
        <b val="true"/>
        <sz val="16"/>
        <color rgb="FF1F3864"/>
        <rFont val="Noto Sans CJK SC"/>
        <family val="2"/>
      </rPr>
      <t xml:space="preserve">セッション </t>
    </r>
    <r>
      <rPr>
        <b val="true"/>
        <sz val="16"/>
        <color rgb="FF1F3864"/>
        <rFont val="Arial"/>
        <family val="0"/>
        <charset val="1"/>
      </rPr>
      <t xml:space="preserve">B </t>
    </r>
    <r>
      <rPr>
        <b val="true"/>
        <sz val="16"/>
        <color rgb="FF1F3864"/>
        <rFont val="Noto Sans CJK SC"/>
        <family val="2"/>
      </rPr>
      <t xml:space="preserve">： ミディアム（中強度・中レップ）</t>
    </r>
  </si>
  <si>
    <r>
      <rPr>
        <sz val="10"/>
        <color rgb="FF808080"/>
        <rFont val="Noto Sans CJK SC"/>
        <family val="2"/>
      </rPr>
      <t xml:space="preserve">狙う </t>
    </r>
    <r>
      <rPr>
        <sz val="10"/>
        <color rgb="FF808080"/>
        <rFont val="Arial"/>
        <family val="0"/>
        <charset val="1"/>
      </rPr>
      <t xml:space="preserve">RPE </t>
    </r>
    <r>
      <rPr>
        <sz val="10"/>
        <color rgb="FF808080"/>
        <rFont val="Noto Sans CJK SC"/>
        <family val="2"/>
      </rPr>
      <t xml:space="preserve">帯：</t>
    </r>
    <r>
      <rPr>
        <sz val="10"/>
        <color rgb="FF808080"/>
        <rFont val="Arial"/>
        <family val="0"/>
        <charset val="1"/>
      </rPr>
      <t xml:space="preserve">6</t>
    </r>
    <r>
      <rPr>
        <sz val="10"/>
        <color rgb="FF808080"/>
        <rFont val="Noto Sans CJK SC"/>
        <family val="2"/>
      </rPr>
      <t xml:space="preserve">〜</t>
    </r>
    <r>
      <rPr>
        <sz val="10"/>
        <color rgb="FF808080"/>
        <rFont val="Arial"/>
        <family val="0"/>
        <charset val="1"/>
      </rPr>
      <t xml:space="preserve">10 </t>
    </r>
    <r>
      <rPr>
        <sz val="10"/>
        <color rgb="FF808080"/>
        <rFont val="Noto Sans CJK SC"/>
        <family val="2"/>
      </rPr>
      <t xml:space="preserve">／ 記録セット </t>
    </r>
    <r>
      <rPr>
        <sz val="10"/>
        <color rgb="FF808080"/>
        <rFont val="Arial"/>
        <family val="0"/>
        <charset val="1"/>
      </rPr>
      <t xml:space="preserve">8</t>
    </r>
    <r>
      <rPr>
        <sz val="10"/>
        <color rgb="FF808080"/>
        <rFont val="Noto Sans CJK SC"/>
        <family val="2"/>
      </rPr>
      <t xml:space="preserve">本 ／ 所要 約</t>
    </r>
    <r>
      <rPr>
        <sz val="10"/>
        <color rgb="FF808080"/>
        <rFont val="Arial"/>
        <family val="0"/>
        <charset val="1"/>
      </rPr>
      <t xml:space="preserve">60</t>
    </r>
    <r>
      <rPr>
        <sz val="10"/>
        <color rgb="FF808080"/>
        <rFont val="Noto Sans CJK SC"/>
        <family val="2"/>
      </rPr>
      <t xml:space="preserve">分</t>
    </r>
  </si>
  <si>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分</t>
    </r>
  </si>
  <si>
    <t xml:space="preserve">6-7</t>
  </si>
  <si>
    <t xml:space="preserve">7</t>
  </si>
  <si>
    <r>
      <rPr>
        <b val="true"/>
        <sz val="16"/>
        <color rgb="FF1F3864"/>
        <rFont val="Noto Sans CJK SC"/>
        <family val="2"/>
      </rPr>
      <t xml:space="preserve">セッション </t>
    </r>
    <r>
      <rPr>
        <b val="true"/>
        <sz val="16"/>
        <color rgb="FF1F3864"/>
        <rFont val="Arial"/>
        <family val="0"/>
        <charset val="1"/>
      </rPr>
      <t xml:space="preserve">C </t>
    </r>
    <r>
      <rPr>
        <b val="true"/>
        <sz val="16"/>
        <color rgb="FF1F3864"/>
        <rFont val="Noto Sans CJK SC"/>
        <family val="2"/>
      </rPr>
      <t xml:space="preserve">： ボリューム（中強度・高レップ）</t>
    </r>
  </si>
  <si>
    <r>
      <rPr>
        <sz val="10"/>
        <color rgb="FF808080"/>
        <rFont val="Noto Sans CJK SC"/>
        <family val="2"/>
      </rPr>
      <t xml:space="preserve">狙う </t>
    </r>
    <r>
      <rPr>
        <sz val="10"/>
        <color rgb="FF808080"/>
        <rFont val="Arial"/>
        <family val="0"/>
        <charset val="1"/>
      </rPr>
      <t xml:space="preserve">RPE </t>
    </r>
    <r>
      <rPr>
        <sz val="10"/>
        <color rgb="FF808080"/>
        <rFont val="Noto Sans CJK SC"/>
        <family val="2"/>
      </rPr>
      <t xml:space="preserve">帯：</t>
    </r>
    <r>
      <rPr>
        <sz val="10"/>
        <color rgb="FF808080"/>
        <rFont val="Arial"/>
        <family val="0"/>
        <charset val="1"/>
      </rPr>
      <t xml:space="preserve">6</t>
    </r>
    <r>
      <rPr>
        <sz val="10"/>
        <color rgb="FF808080"/>
        <rFont val="Noto Sans CJK SC"/>
        <family val="2"/>
      </rPr>
      <t xml:space="preserve">〜</t>
    </r>
    <r>
      <rPr>
        <sz val="10"/>
        <color rgb="FF808080"/>
        <rFont val="Arial"/>
        <family val="0"/>
        <charset val="1"/>
      </rPr>
      <t xml:space="preserve">10 </t>
    </r>
    <r>
      <rPr>
        <sz val="10"/>
        <color rgb="FF808080"/>
        <rFont val="Noto Sans CJK SC"/>
        <family val="2"/>
      </rPr>
      <t xml:space="preserve">／ 記録セット </t>
    </r>
    <r>
      <rPr>
        <sz val="10"/>
        <color rgb="FF808080"/>
        <rFont val="Arial"/>
        <family val="0"/>
        <charset val="1"/>
      </rPr>
      <t xml:space="preserve">8</t>
    </r>
    <r>
      <rPr>
        <sz val="10"/>
        <color rgb="FF808080"/>
        <rFont val="Noto Sans CJK SC"/>
        <family val="2"/>
      </rPr>
      <t xml:space="preserve">本 ／ 所要 約</t>
    </r>
    <r>
      <rPr>
        <sz val="10"/>
        <color rgb="FF808080"/>
        <rFont val="Arial"/>
        <family val="0"/>
        <charset val="1"/>
      </rPr>
      <t xml:space="preserve">55</t>
    </r>
    <r>
      <rPr>
        <sz val="10"/>
        <color rgb="FF808080"/>
        <rFont val="Noto Sans CJK SC"/>
        <family val="2"/>
      </rPr>
      <t xml:space="preserve">分</t>
    </r>
  </si>
  <si>
    <t xml:space="preserve">6</t>
  </si>
  <si>
    <t xml:space="preserve">セッション記録ログ</t>
  </si>
  <si>
    <r>
      <rPr>
        <sz val="10"/>
        <color rgb="FF808080"/>
        <rFont val="Noto Sans CJK SC"/>
        <family val="2"/>
      </rPr>
      <t xml:space="preserve">毎回の計測後に記入してください。</t>
    </r>
    <r>
      <rPr>
        <sz val="10"/>
        <color rgb="FF808080"/>
        <rFont val="Arial"/>
        <family val="0"/>
        <charset val="1"/>
      </rPr>
      <t xml:space="preserve">RPE </t>
    </r>
    <r>
      <rPr>
        <sz val="10"/>
        <color rgb="FF808080"/>
        <rFont val="Noto Sans CJK SC"/>
        <family val="2"/>
      </rPr>
      <t xml:space="preserve">のばらつき要因を後から説明する材料になります。</t>
    </r>
  </si>
  <si>
    <t xml:space="preserve">日付</t>
  </si>
  <si>
    <t xml:space="preserve">タイプ</t>
  </si>
  <si>
    <r>
      <rPr>
        <b val="true"/>
        <sz val="11"/>
        <color rgb="FFFFFFFF"/>
        <rFont val="Noto Sans CJK SC"/>
        <family val="2"/>
      </rPr>
      <t xml:space="preserve">睡眠時間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</si>
  <si>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前回からの間隔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</si>
  <si>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体重</t>
    </r>
    <r>
      <rPr>
        <b val="true"/>
        <sz val="11"/>
        <color rgb="FFFFFFFF"/>
        <rFont val="Arial"/>
        <family val="0"/>
        <charset val="1"/>
      </rPr>
      <t xml:space="preserve">(kg)</t>
    </r>
  </si>
  <si>
    <t xml:space="preserve">カフェイン</t>
  </si>
  <si>
    <r>
      <rPr>
        <b val="true"/>
        <sz val="11"/>
        <color rgb="FFFFFFFF"/>
        <rFont val="Noto Sans CJK SC"/>
        <family val="2"/>
      </rPr>
      <t xml:space="preserve">体調</t>
    </r>
    <r>
      <rPr>
        <b val="true"/>
        <sz val="11"/>
        <color rgb="FFFFFFFF"/>
        <rFont val="Arial"/>
        <family val="0"/>
        <charset val="1"/>
      </rPr>
      <t xml:space="preserve">(1-5)</t>
    </r>
  </si>
  <si>
    <t xml:space="preserve">記録セット数</t>
  </si>
  <si>
    <t xml:space="preserve">セッションフォルダ名</t>
  </si>
  <si>
    <t xml:space="preserve">動画ファイル</t>
  </si>
  <si>
    <r>
      <rPr>
        <b val="true"/>
        <sz val="11"/>
        <color rgb="FFFFFFFF"/>
        <rFont val="Arial"/>
        <family val="0"/>
        <charset val="1"/>
      </rPr>
      <t xml:space="preserve">IMU</t>
    </r>
    <r>
      <rPr>
        <b val="true"/>
        <sz val="11"/>
        <color rgb="FFFFFFFF"/>
        <rFont val="Noto Sans CJK SC"/>
        <family val="2"/>
      </rPr>
      <t xml:space="preserve">台数</t>
    </r>
  </si>
  <si>
    <t xml:space="preserve">2026-09-20</t>
  </si>
  <si>
    <t xml:space="preserve">B</t>
  </si>
  <si>
    <t xml:space="preserve">なし</t>
  </si>
  <si>
    <t xml:space="preserve">session_20260920_143000</t>
  </si>
  <si>
    <t xml:space="preserve">set01-08.mp4</t>
  </si>
  <si>
    <t xml:space="preserve">初回計測</t>
  </si>
  <si>
    <t xml:space="preserve">スクワット メニュー自動計算シート ― 使い方</t>
  </si>
  <si>
    <r>
      <rPr>
        <b val="true"/>
        <sz val="12"/>
        <color rgb="FF2F5597"/>
        <rFont val="Arial"/>
        <family val="0"/>
        <charset val="1"/>
      </rPr>
      <t xml:space="preserve">1. </t>
    </r>
    <r>
      <rPr>
        <b val="true"/>
        <sz val="12"/>
        <color rgb="FF2F5597"/>
        <rFont val="Noto Sans CJK SC"/>
        <family val="2"/>
      </rPr>
      <t xml:space="preserve">最初にやること</t>
    </r>
  </si>
  <si>
    <r>
      <rPr>
        <sz val="11"/>
        <rFont val="Noto Sans CJK SC"/>
        <family val="2"/>
      </rPr>
      <t xml:space="preserve">「設定」シートの </t>
    </r>
    <r>
      <rPr>
        <sz val="11"/>
        <rFont val="Arial"/>
        <family val="0"/>
        <charset val="1"/>
      </rPr>
      <t xml:space="preserve">1RM </t>
    </r>
    <r>
      <rPr>
        <sz val="11"/>
        <rFont val="Noto Sans CJK SC"/>
        <family val="2"/>
      </rPr>
      <t xml:space="preserve">を自分の値に書き換えてください。</t>
    </r>
  </si>
  <si>
    <t xml:space="preserve">バー重量と丸め単位も、使用しているジムに合わせて調整します。</t>
  </si>
  <si>
    <r>
      <rPr>
        <sz val="11"/>
        <rFont val="Noto Sans CJK SC"/>
        <family val="2"/>
      </rPr>
      <t xml:space="preserve">丸め単位は「使えるプレートの最小ペア」です。</t>
    </r>
    <r>
      <rPr>
        <sz val="11"/>
        <rFont val="Arial"/>
        <family val="0"/>
        <charset val="1"/>
      </rPr>
      <t xml:space="preserve">1.25kg </t>
    </r>
    <r>
      <rPr>
        <sz val="11"/>
        <rFont val="Noto Sans CJK SC"/>
        <family val="2"/>
      </rPr>
      <t xml:space="preserve">プレートが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枚あるなら </t>
    </r>
    <r>
      <rPr>
        <sz val="11"/>
        <rFont val="Arial"/>
        <family val="0"/>
        <charset val="1"/>
      </rPr>
      <t xml:space="preserve">2.5 </t>
    </r>
    <r>
      <rPr>
        <sz val="11"/>
        <rFont val="Noto Sans CJK SC"/>
        <family val="2"/>
      </rPr>
      <t xml:space="preserve">を選びます。</t>
    </r>
  </si>
  <si>
    <r>
      <rPr>
        <b val="true"/>
        <sz val="12"/>
        <color rgb="FF2F5597"/>
        <rFont val="Arial"/>
        <family val="0"/>
        <charset val="1"/>
      </rPr>
      <t xml:space="preserve">2. </t>
    </r>
    <r>
      <rPr>
        <b val="true"/>
        <sz val="12"/>
        <color rgb="FF2F5597"/>
        <rFont val="Noto Sans CJK SC"/>
        <family val="2"/>
      </rPr>
      <t xml:space="preserve">セッションの使い分け</t>
    </r>
  </si>
  <si>
    <r>
      <rPr>
        <sz val="11"/>
        <rFont val="Arial"/>
        <family val="0"/>
        <charset val="1"/>
      </rPr>
      <t xml:space="preserve">A_</t>
    </r>
    <r>
      <rPr>
        <sz val="11"/>
        <rFont val="Noto Sans CJK SC"/>
        <family val="2"/>
      </rPr>
      <t xml:space="preserve">ヘビー     … 高強度・低レップ。</t>
    </r>
    <r>
      <rPr>
        <sz val="11"/>
        <rFont val="Arial"/>
        <family val="0"/>
        <charset val="1"/>
      </rPr>
      <t xml:space="preserve">RPE 7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を集める。</t>
    </r>
  </si>
  <si>
    <r>
      <rPr>
        <sz val="11"/>
        <rFont val="Arial"/>
        <family val="0"/>
        <charset val="1"/>
      </rPr>
      <t xml:space="preserve">B_</t>
    </r>
    <r>
      <rPr>
        <sz val="11"/>
        <rFont val="Noto Sans CJK SC"/>
        <family val="2"/>
      </rPr>
      <t xml:space="preserve">ミディアム … 中強度・中レップ。</t>
    </r>
    <r>
      <rPr>
        <sz val="11"/>
        <rFont val="Arial"/>
        <family val="0"/>
        <charset val="1"/>
      </rPr>
      <t xml:space="preserve">RPE 6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を広く集める。</t>
    </r>
  </si>
  <si>
    <r>
      <rPr>
        <sz val="11"/>
        <rFont val="Arial"/>
        <family val="0"/>
        <charset val="1"/>
      </rPr>
      <t xml:space="preserve">C_</t>
    </r>
    <r>
      <rPr>
        <sz val="11"/>
        <rFont val="Noto Sans CJK SC"/>
        <family val="2"/>
      </rPr>
      <t xml:space="preserve">ボリューム … 中強度・高レップ。後半の疲労で </t>
    </r>
    <r>
      <rPr>
        <sz val="11"/>
        <rFont val="Arial"/>
        <family val="0"/>
        <charset val="1"/>
      </rPr>
      <t xml:space="preserve">RPE </t>
    </r>
    <r>
      <rPr>
        <sz val="11"/>
        <rFont val="Noto Sans CJK SC"/>
        <family val="2"/>
      </rPr>
      <t xml:space="preserve">を押し上げる。</t>
    </r>
  </si>
  <si>
    <r>
      <rPr>
        <sz val="11"/>
        <rFont val="Noto Sans CJK SC"/>
        <family val="2"/>
      </rPr>
      <t xml:space="preserve">週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回なら </t>
    </r>
    <r>
      <rPr>
        <sz val="11"/>
        <rFont val="Arial"/>
        <family val="0"/>
        <charset val="1"/>
      </rPr>
      <t xml:space="preserve">A → B → C </t>
    </r>
    <r>
      <rPr>
        <sz val="11"/>
        <rFont val="Noto Sans CJK SC"/>
        <family val="2"/>
      </rPr>
      <t xml:space="preserve">の順で回すと、</t>
    </r>
    <r>
      <rPr>
        <sz val="11"/>
        <rFont val="Arial"/>
        <family val="0"/>
        <charset val="1"/>
      </rPr>
      <t xml:space="preserve">RPE </t>
    </r>
    <r>
      <rPr>
        <sz val="11"/>
        <rFont val="Noto Sans CJK SC"/>
        <family val="2"/>
      </rPr>
      <t xml:space="preserve">が偏らず回復も確保できます。</t>
    </r>
  </si>
  <si>
    <t xml:space="preserve">疲労が抜けないと感じたら、迷わず頻度を落としてください。</t>
  </si>
  <si>
    <r>
      <rPr>
        <b val="true"/>
        <sz val="12"/>
        <color rgb="FF2F5597"/>
        <rFont val="Arial"/>
        <family val="0"/>
        <charset val="1"/>
      </rPr>
      <t xml:space="preserve">3. </t>
    </r>
    <r>
      <rPr>
        <b val="true"/>
        <sz val="12"/>
        <color rgb="FF2F5597"/>
        <rFont val="Noto Sans CJK SC"/>
        <family val="2"/>
      </rPr>
      <t xml:space="preserve">なぜ後半で重量を下げるのか</t>
    </r>
  </si>
  <si>
    <r>
      <rPr>
        <sz val="11"/>
        <rFont val="Noto Sans CJK SC"/>
        <family val="2"/>
      </rPr>
      <t xml:space="preserve">各セッションの後半は、重量を下げているのに </t>
    </r>
    <r>
      <rPr>
        <sz val="11"/>
        <rFont val="Arial"/>
        <family val="0"/>
        <charset val="1"/>
      </rPr>
      <t xml:space="preserve">RPE </t>
    </r>
    <r>
      <rPr>
        <sz val="11"/>
        <rFont val="Noto Sans CJK SC"/>
        <family val="2"/>
      </rPr>
      <t xml:space="preserve">が上がる構成になっています。</t>
    </r>
  </si>
  <si>
    <r>
      <rPr>
        <sz val="11"/>
        <rFont val="Noto Sans CJK SC"/>
        <family val="2"/>
      </rPr>
      <t xml:space="preserve">これは意図的です。重量と </t>
    </r>
    <r>
      <rPr>
        <sz val="11"/>
        <rFont val="Arial"/>
        <family val="0"/>
        <charset val="1"/>
      </rPr>
      <t xml:space="preserve">RPE </t>
    </r>
    <r>
      <rPr>
        <sz val="11"/>
        <rFont val="Noto Sans CJK SC"/>
        <family val="2"/>
      </rPr>
      <t xml:space="preserve">の相関をわざと崩すことで、</t>
    </r>
  </si>
  <si>
    <t xml:space="preserve">モデルが「重量」ではなく「センサから得られる動きの情報」を見るようになります。</t>
  </si>
  <si>
    <r>
      <rPr>
        <b val="true"/>
        <sz val="12"/>
        <color rgb="FF2F5597"/>
        <rFont val="Arial"/>
        <family val="0"/>
        <charset val="1"/>
      </rPr>
      <t xml:space="preserve">4. RPE </t>
    </r>
    <r>
      <rPr>
        <b val="true"/>
        <sz val="12"/>
        <color rgb="FF2F5597"/>
        <rFont val="Noto Sans CJK SC"/>
        <family val="2"/>
      </rPr>
      <t xml:space="preserve">の記録ルール</t>
    </r>
  </si>
  <si>
    <r>
      <rPr>
        <sz val="11"/>
        <rFont val="Noto Sans CJK SC"/>
        <family val="2"/>
      </rPr>
      <t xml:space="preserve">・挙上直後</t>
    </r>
    <r>
      <rPr>
        <sz val="11"/>
        <rFont val="Arial"/>
        <family val="0"/>
        <charset val="1"/>
      </rPr>
      <t xml:space="preserve">15</t>
    </r>
    <r>
      <rPr>
        <sz val="11"/>
        <rFont val="Noto Sans CJK SC"/>
        <family val="2"/>
      </rPr>
      <t xml:space="preserve">秒以内に、口に出して言ってから記録する</t>
    </r>
  </si>
  <si>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PC </t>
    </r>
    <r>
      <rPr>
        <sz val="11"/>
        <rFont val="Noto Sans CJK SC"/>
        <family val="2"/>
      </rPr>
      <t xml:space="preserve">の画面（速度の数値）を見る前に決める</t>
    </r>
  </si>
  <si>
    <t xml:space="preserve">・一度記録した値は後から変更しない</t>
  </si>
  <si>
    <t xml:space="preserve">自分が被験者なので、無意識に「当てやすい値」を申告してしまう危険があります。</t>
  </si>
  <si>
    <t xml:space="preserve">このルールはそれを防ぐためのものです。</t>
  </si>
  <si>
    <r>
      <rPr>
        <b val="true"/>
        <sz val="12"/>
        <color rgb="FF2F5597"/>
        <rFont val="Arial"/>
        <family val="0"/>
        <charset val="1"/>
      </rPr>
      <t xml:space="preserve">5. </t>
    </r>
    <r>
      <rPr>
        <b val="true"/>
        <sz val="12"/>
        <color rgb="FF2F5597"/>
        <rFont val="Noto Sans CJK SC"/>
        <family val="2"/>
      </rPr>
      <t xml:space="preserve">実際の重量が変わった場合</t>
    </r>
  </si>
  <si>
    <t xml:space="preserve">体調により重量を落とした場合は、シートの「メモ」欄に実際の重量を記入してください。</t>
  </si>
  <si>
    <t xml:space="preserve">解析では実際に挙げた重量を使います。</t>
  </si>
  <si>
    <r>
      <rPr>
        <b val="true"/>
        <sz val="12"/>
        <color rgb="FF2F5597"/>
        <rFont val="Arial"/>
        <family val="0"/>
        <charset val="1"/>
      </rPr>
      <t xml:space="preserve">6. </t>
    </r>
    <r>
      <rPr>
        <b val="true"/>
        <sz val="12"/>
        <color rgb="FF2F5597"/>
        <rFont val="Noto Sans CJK SC"/>
        <family val="2"/>
      </rPr>
      <t xml:space="preserve">計測後</t>
    </r>
  </si>
  <si>
    <t xml:space="preserve">「記録ログ」シートに、その日の条件（睡眠・体重・体調など）を記入します。</t>
  </si>
  <si>
    <r>
      <rPr>
        <sz val="11"/>
        <rFont val="Noto Sans CJK SC"/>
        <family val="2"/>
      </rPr>
      <t xml:space="preserve">これらは </t>
    </r>
    <r>
      <rPr>
        <sz val="11"/>
        <rFont val="Arial"/>
        <family val="0"/>
        <charset val="1"/>
      </rPr>
      <t xml:space="preserve">RPE </t>
    </r>
    <r>
      <rPr>
        <sz val="11"/>
        <rFont val="Noto Sans CJK SC"/>
        <family val="2"/>
      </rPr>
      <t xml:space="preserve">のばらつき要因として、後の考察で使えます。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</si>
</sst>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##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Noto Sans CJK SC"/>
      <family val="2"/>
    </font>
    <font>
      <b val="true"/>
      <sz val="12"/>
      <color rgb="FF2F5597"/>
      <name val="Noto Sans CJK SC"/>
      <family val="2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2"/>
      <color rgb="FF2F559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rgb="FF000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color rgb="FF2F5597"/>
      <name val="Arial"/>
      <family val="0"/>
      <charset val="1"/>
    </font>
    <font>
      <sz val="11"/>
      <color theme="1"/>
      <name val="Noto Sans CJK SC"/>
      <family val="2"/>
    </font>
    <font>
      <b val="true"/>
      <sz val="10"/>
      <color rgb="FF1F7A4D"/>
      <name val="Noto Sans CJK SC"/>
      <family val="2"/>
    </font>
    <font>
      <b val="true"/>
      <sz val="12"/>
      <color rgb="FF1F3864"/>
      <name val="Arial"/>
      <family val="0"/>
      <charset val="1"/>
    </font>
    <font>
      <sz val="11"/>
      <color rgb="FF000000"/>
      <name val="Noto Sans CJK SC"/>
      <family val="2"/>
    </font>
    <font>
      <sz val="10"/>
      <color rgb="FFC55A11"/>
      <name val="Arial"/>
      <family val="0"/>
      <charset val="1"/>
    </font>
    <font>
      <sz val="10"/>
      <color rgb="FFC55A11"/>
      <name val="Noto Sans CJK SC"/>
      <family val="2"/>
    </font>
    <font>
      <b val="true"/>
      <sz val="11"/>
      <color rgb="FF0000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FEFEF"/>
      </patternFill>
    </fill>
    <fill>
      <patternFill patternType="solid">
        <fgColor rgb="FF2F5597"/>
        <bgColor rgb="FF2E75B6"/>
      </patternFill>
    </fill>
    <fill>
      <patternFill patternType="solid">
        <fgColor rgb="FFF2F6FA"/>
        <bgColor rgb="FFEFEFEF"/>
      </patternFill>
    </fill>
    <fill>
      <patternFill patternType="solid">
        <fgColor rgb="FFEFEFEF"/>
        <bgColor rgb="FFF2F6FA"/>
      </patternFill>
    </fill>
    <fill>
      <patternFill patternType="solid">
        <fgColor rgb="FFFF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F7A4D"/>
      <rgbColor rgb="FFB4C6E7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DF5"/>
      <rgbColor rgb="FFA9D08E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C55A11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4"/>
    <col collapsed="false" customWidth="true" hidden="false" outlineLevel="0" max="5" min="5" style="0" width="3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17.15" hidden="false" customHeight="false" outlineLevel="0" collapsed="false">
      <c r="A4" s="3" t="s">
        <v>2</v>
      </c>
      <c r="B4" s="4" t="n">
        <v>150</v>
      </c>
      <c r="C4" s="5" t="s">
        <v>3</v>
      </c>
      <c r="D4" s="6" t="s">
        <v>4</v>
      </c>
    </row>
    <row r="5" customFormat="false" ht="15" hidden="false" customHeight="false" outlineLevel="0" collapsed="false">
      <c r="A5" s="7" t="s">
        <v>5</v>
      </c>
      <c r="B5" s="4" t="n">
        <v>20</v>
      </c>
      <c r="C5" s="5" t="s">
        <v>3</v>
      </c>
      <c r="D5" s="6" t="s">
        <v>6</v>
      </c>
    </row>
    <row r="6" customFormat="false" ht="26.85" hidden="false" customHeight="false" outlineLevel="0" collapsed="false">
      <c r="A6" s="7" t="s">
        <v>7</v>
      </c>
      <c r="B6" s="4" t="n">
        <v>2.5</v>
      </c>
      <c r="C6" s="5" t="s">
        <v>3</v>
      </c>
      <c r="D6" s="6" t="s">
        <v>8</v>
      </c>
    </row>
    <row r="9" customFormat="false" ht="15" hidden="false" customHeight="false" outlineLevel="0" collapsed="false">
      <c r="A9" s="8" t="s">
        <v>9</v>
      </c>
      <c r="B9" s="8"/>
      <c r="C9" s="8"/>
      <c r="D9" s="8"/>
      <c r="E9" s="8"/>
      <c r="F9" s="8"/>
    </row>
    <row r="11" customFormat="false" ht="19.4" hidden="false" customHeight="false" outlineLevel="0" collapsed="false">
      <c r="A11" s="9" t="s">
        <v>10</v>
      </c>
    </row>
    <row r="12" customFormat="false" ht="17.15" hidden="false" customHeight="false" outlineLevel="0" collapsed="false">
      <c r="A12" s="10" t="s">
        <v>11</v>
      </c>
      <c r="B12" s="11" t="s">
        <v>12</v>
      </c>
      <c r="C12" s="11" t="s">
        <v>13</v>
      </c>
      <c r="D12" s="11" t="s">
        <v>14</v>
      </c>
    </row>
    <row r="13" customFormat="false" ht="15" hidden="false" customHeight="false" outlineLevel="0" collapsed="false">
      <c r="A13" s="12" t="n">
        <v>0.5</v>
      </c>
      <c r="B13" s="13" t="n">
        <f aca="false">ROUND($B$4*A13/$B$6,0)*$B$6</f>
        <v>75</v>
      </c>
      <c r="C13" s="13" t="n">
        <f aca="false">MAX(0,(B13-$B$5)/2)</f>
        <v>27.5</v>
      </c>
      <c r="D13" s="14" t="str">
        <f aca="false">IF(N(C13)&lt;=0,"",TRIM(IF(INT(C13/25)&gt;0,INT(C13/25)&amp;"x25 ","")&amp;IF(INT(MOD(C13,25)/20)&gt;0,INT(MOD(C13,25)/20)&amp;"x20 ","")&amp;IF(INT(MOD(MOD(C13,25),20)/15)&gt;0,INT(MOD(MOD(C13,25),20)/15)&amp;"x15 ","")&amp;IF(INT(MOD(MOD(MOD(C13,25),20),15)/10)&gt;0,INT(MOD(MOD(MOD(C13,25),20),15)/10)&amp;"x10 ","")&amp;IF(INT(MOD(MOD(MOD(MOD(C13,25),20),15),10)/5)&gt;0,INT(MOD(MOD(MOD(MOD(C13,25),20),15),10)/5)&amp;"x5 ","")&amp;IF(INT(MOD(MOD(MOD(MOD(MOD(C13,25),20),15),10),5)/2.5)&gt;0,INT(MOD(MOD(MOD(MOD(MOD(C13,25),20),15),10),5)/2.5)&amp;"x2.5 ","")&amp;IF(INT(MOD(MOD(MOD(MOD(MOD(MOD(C13,25),20),15),10),5),2.5)/1.25)&gt;0,INT(MOD(MOD(MOD(MOD(MOD(MOD(C13,25),20),15),10),5),2.5)/1.25)&amp;"x1.25 ","")))</f>
        <v>1x25 1x2.5</v>
      </c>
    </row>
    <row r="14" customFormat="false" ht="15" hidden="false" customHeight="false" outlineLevel="0" collapsed="false">
      <c r="A14" s="15" t="n">
        <v>0.55</v>
      </c>
      <c r="B14" s="16" t="n">
        <f aca="false">ROUND($B$4*A14/$B$6,0)*$B$6</f>
        <v>82.5</v>
      </c>
      <c r="C14" s="16" t="n">
        <f aca="false">MAX(0,(B14-$B$5)/2)</f>
        <v>31.25</v>
      </c>
      <c r="D14" s="17" t="str">
        <f aca="false">IF(N(C14)&lt;=0,"",TRIM(IF(INT(C14/25)&gt;0,INT(C14/25)&amp;"x25 ","")&amp;IF(INT(MOD(C14,25)/20)&gt;0,INT(MOD(C14,25)/20)&amp;"x20 ","")&amp;IF(INT(MOD(MOD(C14,25),20)/15)&gt;0,INT(MOD(MOD(C14,25),20)/15)&amp;"x15 ","")&amp;IF(INT(MOD(MOD(MOD(C14,25),20),15)/10)&gt;0,INT(MOD(MOD(MOD(C14,25),20),15)/10)&amp;"x10 ","")&amp;IF(INT(MOD(MOD(MOD(MOD(C14,25),20),15),10)/5)&gt;0,INT(MOD(MOD(MOD(MOD(C14,25),20),15),10)/5)&amp;"x5 ","")&amp;IF(INT(MOD(MOD(MOD(MOD(MOD(C14,25),20),15),10),5)/2.5)&gt;0,INT(MOD(MOD(MOD(MOD(MOD(C14,25),20),15),10),5)/2.5)&amp;"x2.5 ","")&amp;IF(INT(MOD(MOD(MOD(MOD(MOD(MOD(C14,25),20),15),10),5),2.5)/1.25)&gt;0,INT(MOD(MOD(MOD(MOD(MOD(MOD(C14,25),20),15),10),5),2.5)/1.25)&amp;"x1.25 ","")))</f>
        <v>1x25 1x5 1x1.25</v>
      </c>
    </row>
    <row r="15" customFormat="false" ht="15" hidden="false" customHeight="false" outlineLevel="0" collapsed="false">
      <c r="A15" s="12" t="n">
        <v>0.6</v>
      </c>
      <c r="B15" s="13" t="n">
        <f aca="false">ROUND($B$4*A15/$B$6,0)*$B$6</f>
        <v>90</v>
      </c>
      <c r="C15" s="13" t="n">
        <f aca="false">MAX(0,(B15-$B$5)/2)</f>
        <v>35</v>
      </c>
      <c r="D15" s="14" t="str">
        <f aca="false">IF(N(C15)&lt;=0,"",TRIM(IF(INT(C15/25)&gt;0,INT(C15/25)&amp;"x25 ","")&amp;IF(INT(MOD(C15,25)/20)&gt;0,INT(MOD(C15,25)/20)&amp;"x20 ","")&amp;IF(INT(MOD(MOD(C15,25),20)/15)&gt;0,INT(MOD(MOD(C15,25),20)/15)&amp;"x15 ","")&amp;IF(INT(MOD(MOD(MOD(C15,25),20),15)/10)&gt;0,INT(MOD(MOD(MOD(C15,25),20),15)/10)&amp;"x10 ","")&amp;IF(INT(MOD(MOD(MOD(MOD(C15,25),20),15),10)/5)&gt;0,INT(MOD(MOD(MOD(MOD(C15,25),20),15),10)/5)&amp;"x5 ","")&amp;IF(INT(MOD(MOD(MOD(MOD(MOD(C15,25),20),15),10),5)/2.5)&gt;0,INT(MOD(MOD(MOD(MOD(MOD(C15,25),20),15),10),5)/2.5)&amp;"x2.5 ","")&amp;IF(INT(MOD(MOD(MOD(MOD(MOD(MOD(C15,25),20),15),10),5),2.5)/1.25)&gt;0,INT(MOD(MOD(MOD(MOD(MOD(MOD(C15,25),20),15),10),5),2.5)/1.25)&amp;"x1.25 ","")))</f>
        <v>1x25 1x10</v>
      </c>
    </row>
    <row r="16" customFormat="false" ht="15" hidden="false" customHeight="false" outlineLevel="0" collapsed="false">
      <c r="A16" s="15" t="n">
        <v>0.65</v>
      </c>
      <c r="B16" s="16" t="n">
        <f aca="false">ROUND($B$4*A16/$B$6,0)*$B$6</f>
        <v>97.5</v>
      </c>
      <c r="C16" s="16" t="n">
        <f aca="false">MAX(0,(B16-$B$5)/2)</f>
        <v>38.75</v>
      </c>
      <c r="D16" s="17" t="str">
        <f aca="false">IF(N(C16)&lt;=0,"",TRIM(IF(INT(C16/25)&gt;0,INT(C16/25)&amp;"x25 ","")&amp;IF(INT(MOD(C16,25)/20)&gt;0,INT(MOD(C16,25)/20)&amp;"x20 ","")&amp;IF(INT(MOD(MOD(C16,25),20)/15)&gt;0,INT(MOD(MOD(C16,25),20)/15)&amp;"x15 ","")&amp;IF(INT(MOD(MOD(MOD(C16,25),20),15)/10)&gt;0,INT(MOD(MOD(MOD(C16,25),20),15)/10)&amp;"x10 ","")&amp;IF(INT(MOD(MOD(MOD(MOD(C16,25),20),15),10)/5)&gt;0,INT(MOD(MOD(MOD(MOD(C16,25),20),15),10)/5)&amp;"x5 ","")&amp;IF(INT(MOD(MOD(MOD(MOD(MOD(C16,25),20),15),10),5)/2.5)&gt;0,INT(MOD(MOD(MOD(MOD(MOD(C16,25),20),15),10),5)/2.5)&amp;"x2.5 ","")&amp;IF(INT(MOD(MOD(MOD(MOD(MOD(MOD(C16,25),20),15),10),5),2.5)/1.25)&gt;0,INT(MOD(MOD(MOD(MOD(MOD(MOD(C16,25),20),15),10),5),2.5)/1.25)&amp;"x1.25 ","")))</f>
        <v>1x25 1x10 1x2.5 1x1.25</v>
      </c>
    </row>
    <row r="17" customFormat="false" ht="15" hidden="false" customHeight="false" outlineLevel="0" collapsed="false">
      <c r="A17" s="12" t="n">
        <v>0.7</v>
      </c>
      <c r="B17" s="13" t="n">
        <f aca="false">ROUND($B$4*A17/$B$6,0)*$B$6</f>
        <v>105</v>
      </c>
      <c r="C17" s="13" t="n">
        <f aca="false">MAX(0,(B17-$B$5)/2)</f>
        <v>42.5</v>
      </c>
      <c r="D17" s="14" t="str">
        <f aca="false">IF(N(C17)&lt;=0,"",TRIM(IF(INT(C17/25)&gt;0,INT(C17/25)&amp;"x25 ","")&amp;IF(INT(MOD(C17,25)/20)&gt;0,INT(MOD(C17,25)/20)&amp;"x20 ","")&amp;IF(INT(MOD(MOD(C17,25),20)/15)&gt;0,INT(MOD(MOD(C17,25),20)/15)&amp;"x15 ","")&amp;IF(INT(MOD(MOD(MOD(C17,25),20),15)/10)&gt;0,INT(MOD(MOD(MOD(C17,25),20),15)/10)&amp;"x10 ","")&amp;IF(INT(MOD(MOD(MOD(MOD(C17,25),20),15),10)/5)&gt;0,INT(MOD(MOD(MOD(MOD(C17,25),20),15),10)/5)&amp;"x5 ","")&amp;IF(INT(MOD(MOD(MOD(MOD(MOD(C17,25),20),15),10),5)/2.5)&gt;0,INT(MOD(MOD(MOD(MOD(MOD(C17,25),20),15),10),5)/2.5)&amp;"x2.5 ","")&amp;IF(INT(MOD(MOD(MOD(MOD(MOD(MOD(C17,25),20),15),10),5),2.5)/1.25)&gt;0,INT(MOD(MOD(MOD(MOD(MOD(MOD(C17,25),20),15),10),5),2.5)/1.25)&amp;"x1.25 ","")))</f>
        <v>1x25 1x15 1x2.5</v>
      </c>
    </row>
    <row r="18" customFormat="false" ht="15" hidden="false" customHeight="false" outlineLevel="0" collapsed="false">
      <c r="A18" s="15" t="n">
        <v>0.75</v>
      </c>
      <c r="B18" s="16" t="n">
        <f aca="false">ROUND($B$4*A18/$B$6,0)*$B$6</f>
        <v>112.5</v>
      </c>
      <c r="C18" s="16" t="n">
        <f aca="false">MAX(0,(B18-$B$5)/2)</f>
        <v>46.25</v>
      </c>
      <c r="D18" s="17" t="str">
        <f aca="false">IF(N(C18)&lt;=0,"",TRIM(IF(INT(C18/25)&gt;0,INT(C18/25)&amp;"x25 ","")&amp;IF(INT(MOD(C18,25)/20)&gt;0,INT(MOD(C18,25)/20)&amp;"x20 ","")&amp;IF(INT(MOD(MOD(C18,25),20)/15)&gt;0,INT(MOD(MOD(C18,25),20)/15)&amp;"x15 ","")&amp;IF(INT(MOD(MOD(MOD(C18,25),20),15)/10)&gt;0,INT(MOD(MOD(MOD(C18,25),20),15)/10)&amp;"x10 ","")&amp;IF(INT(MOD(MOD(MOD(MOD(C18,25),20),15),10)/5)&gt;0,INT(MOD(MOD(MOD(MOD(C18,25),20),15),10)/5)&amp;"x5 ","")&amp;IF(INT(MOD(MOD(MOD(MOD(MOD(C18,25),20),15),10),5)/2.5)&gt;0,INT(MOD(MOD(MOD(MOD(MOD(C18,25),20),15),10),5)/2.5)&amp;"x2.5 ","")&amp;IF(INT(MOD(MOD(MOD(MOD(MOD(MOD(C18,25),20),15),10),5),2.5)/1.25)&gt;0,INT(MOD(MOD(MOD(MOD(MOD(MOD(C18,25),20),15),10),5),2.5)/1.25)&amp;"x1.25 ","")))</f>
        <v>1x25 1x20 1x1.25</v>
      </c>
    </row>
    <row r="19" customFormat="false" ht="15" hidden="false" customHeight="false" outlineLevel="0" collapsed="false">
      <c r="A19" s="12" t="n">
        <v>0.8</v>
      </c>
      <c r="B19" s="13" t="n">
        <f aca="false">ROUND($B$4*A19/$B$6,0)*$B$6</f>
        <v>120</v>
      </c>
      <c r="C19" s="13" t="n">
        <f aca="false">MAX(0,(B19-$B$5)/2)</f>
        <v>50</v>
      </c>
      <c r="D19" s="14" t="str">
        <f aca="false">IF(N(C19)&lt;=0,"",TRIM(IF(INT(C19/25)&gt;0,INT(C19/25)&amp;"x25 ","")&amp;IF(INT(MOD(C19,25)/20)&gt;0,INT(MOD(C19,25)/20)&amp;"x20 ","")&amp;IF(INT(MOD(MOD(C19,25),20)/15)&gt;0,INT(MOD(MOD(C19,25),20)/15)&amp;"x15 ","")&amp;IF(INT(MOD(MOD(MOD(C19,25),20),15)/10)&gt;0,INT(MOD(MOD(MOD(C19,25),20),15)/10)&amp;"x10 ","")&amp;IF(INT(MOD(MOD(MOD(MOD(C19,25),20),15),10)/5)&gt;0,INT(MOD(MOD(MOD(MOD(C19,25),20),15),10)/5)&amp;"x5 ","")&amp;IF(INT(MOD(MOD(MOD(MOD(MOD(C19,25),20),15),10),5)/2.5)&gt;0,INT(MOD(MOD(MOD(MOD(MOD(C19,25),20),15),10),5)/2.5)&amp;"x2.5 ","")&amp;IF(INT(MOD(MOD(MOD(MOD(MOD(MOD(C19,25),20),15),10),5),2.5)/1.25)&gt;0,INT(MOD(MOD(MOD(MOD(MOD(MOD(C19,25),20),15),10),5),2.5)/1.25)&amp;"x1.25 ","")))</f>
        <v>2x25</v>
      </c>
    </row>
    <row r="20" customFormat="false" ht="15" hidden="false" customHeight="false" outlineLevel="0" collapsed="false">
      <c r="A20" s="15" t="n">
        <v>0.85</v>
      </c>
      <c r="B20" s="16" t="n">
        <f aca="false">ROUND($B$4*A20/$B$6,0)*$B$6</f>
        <v>127.5</v>
      </c>
      <c r="C20" s="16" t="n">
        <f aca="false">MAX(0,(B20-$B$5)/2)</f>
        <v>53.75</v>
      </c>
      <c r="D20" s="17" t="str">
        <f aca="false">IF(N(C20)&lt;=0,"",TRIM(IF(INT(C20/25)&gt;0,INT(C20/25)&amp;"x25 ","")&amp;IF(INT(MOD(C20,25)/20)&gt;0,INT(MOD(C20,25)/20)&amp;"x20 ","")&amp;IF(INT(MOD(MOD(C20,25),20)/15)&gt;0,INT(MOD(MOD(C20,25),20)/15)&amp;"x15 ","")&amp;IF(INT(MOD(MOD(MOD(C20,25),20),15)/10)&gt;0,INT(MOD(MOD(MOD(C20,25),20),15)/10)&amp;"x10 ","")&amp;IF(INT(MOD(MOD(MOD(MOD(C20,25),20),15),10)/5)&gt;0,INT(MOD(MOD(MOD(MOD(C20,25),20),15),10)/5)&amp;"x5 ","")&amp;IF(INT(MOD(MOD(MOD(MOD(MOD(C20,25),20),15),10),5)/2.5)&gt;0,INT(MOD(MOD(MOD(MOD(MOD(C20,25),20),15),10),5)/2.5)&amp;"x2.5 ","")&amp;IF(INT(MOD(MOD(MOD(MOD(MOD(MOD(C20,25),20),15),10),5),2.5)/1.25)&gt;0,INT(MOD(MOD(MOD(MOD(MOD(MOD(C20,25),20),15),10),5),2.5)/1.25)&amp;"x1.25 ","")))</f>
        <v>2x25 1x2.5 1x1.25</v>
      </c>
    </row>
    <row r="21" customFormat="false" ht="15" hidden="false" customHeight="false" outlineLevel="0" collapsed="false">
      <c r="A21" s="12" t="n">
        <v>0.9</v>
      </c>
      <c r="B21" s="13" t="n">
        <f aca="false">ROUND($B$4*A21/$B$6,0)*$B$6</f>
        <v>135</v>
      </c>
      <c r="C21" s="13" t="n">
        <f aca="false">MAX(0,(B21-$B$5)/2)</f>
        <v>57.5</v>
      </c>
      <c r="D21" s="14" t="str">
        <f aca="false">IF(N(C21)&lt;=0,"",TRIM(IF(INT(C21/25)&gt;0,INT(C21/25)&amp;"x25 ","")&amp;IF(INT(MOD(C21,25)/20)&gt;0,INT(MOD(C21,25)/20)&amp;"x20 ","")&amp;IF(INT(MOD(MOD(C21,25),20)/15)&gt;0,INT(MOD(MOD(C21,25),20)/15)&amp;"x15 ","")&amp;IF(INT(MOD(MOD(MOD(C21,25),20),15)/10)&gt;0,INT(MOD(MOD(MOD(C21,25),20),15)/10)&amp;"x10 ","")&amp;IF(INT(MOD(MOD(MOD(MOD(C21,25),20),15),10)/5)&gt;0,INT(MOD(MOD(MOD(MOD(C21,25),20),15),10)/5)&amp;"x5 ","")&amp;IF(INT(MOD(MOD(MOD(MOD(MOD(C21,25),20),15),10),5)/2.5)&gt;0,INT(MOD(MOD(MOD(MOD(MOD(C21,25),20),15),10),5)/2.5)&amp;"x2.5 ","")&amp;IF(INT(MOD(MOD(MOD(MOD(MOD(MOD(C21,25),20),15),10),5),2.5)/1.25)&gt;0,INT(MOD(MOD(MOD(MOD(MOD(MOD(C21,25),20),15),10),5),2.5)/1.25)&amp;"x1.25 ","")))</f>
        <v>2x25 1x5 1x2.5</v>
      </c>
    </row>
    <row r="22" customFormat="false" ht="15" hidden="false" customHeight="false" outlineLevel="0" collapsed="false">
      <c r="A22" s="15" t="n">
        <v>0.95</v>
      </c>
      <c r="B22" s="16" t="n">
        <f aca="false">ROUND($B$4*A22/$B$6,0)*$B$6</f>
        <v>142.5</v>
      </c>
      <c r="C22" s="16" t="n">
        <f aca="false">MAX(0,(B22-$B$5)/2)</f>
        <v>61.25</v>
      </c>
      <c r="D22" s="17" t="str">
        <f aca="false">IF(N(C22)&lt;=0,"",TRIM(IF(INT(C22/25)&gt;0,INT(C22/25)&amp;"x25 ","")&amp;IF(INT(MOD(C22,25)/20)&gt;0,INT(MOD(C22,25)/20)&amp;"x20 ","")&amp;IF(INT(MOD(MOD(C22,25),20)/15)&gt;0,INT(MOD(MOD(C22,25),20)/15)&amp;"x15 ","")&amp;IF(INT(MOD(MOD(MOD(C22,25),20),15)/10)&gt;0,INT(MOD(MOD(MOD(C22,25),20),15)/10)&amp;"x10 ","")&amp;IF(INT(MOD(MOD(MOD(MOD(C22,25),20),15),10)/5)&gt;0,INT(MOD(MOD(MOD(MOD(C22,25),20),15),10)/5)&amp;"x5 ","")&amp;IF(INT(MOD(MOD(MOD(MOD(MOD(C22,25),20),15),10),5)/2.5)&gt;0,INT(MOD(MOD(MOD(MOD(MOD(C22,25),20),15),10),5)/2.5)&amp;"x2.5 ","")&amp;IF(INT(MOD(MOD(MOD(MOD(MOD(MOD(C22,25),20),15),10),5),2.5)/1.25)&gt;0,INT(MOD(MOD(MOD(MOD(MOD(MOD(C22,25),20),15),10),5),2.5)/1.25)&amp;"x1.25 ","")))</f>
        <v>2x25 1x10 1x1.25</v>
      </c>
    </row>
    <row r="23" customFormat="false" ht="15" hidden="false" customHeight="false" outlineLevel="0" collapsed="false">
      <c r="A23" s="12" t="n">
        <v>1</v>
      </c>
      <c r="B23" s="13" t="n">
        <f aca="false">ROUND($B$4*A23/$B$6,0)*$B$6</f>
        <v>150</v>
      </c>
      <c r="C23" s="13" t="n">
        <f aca="false">MAX(0,(B23-$B$5)/2)</f>
        <v>65</v>
      </c>
      <c r="D23" s="14" t="str">
        <f aca="false">IF(N(C23)&lt;=0,"",TRIM(IF(INT(C23/25)&gt;0,INT(C23/25)&amp;"x25 ","")&amp;IF(INT(MOD(C23,25)/20)&gt;0,INT(MOD(C23,25)/20)&amp;"x20 ","")&amp;IF(INT(MOD(MOD(C23,25),20)/15)&gt;0,INT(MOD(MOD(C23,25),20)/15)&amp;"x15 ","")&amp;IF(INT(MOD(MOD(MOD(C23,25),20),15)/10)&gt;0,INT(MOD(MOD(MOD(C23,25),20),15)/10)&amp;"x10 ","")&amp;IF(INT(MOD(MOD(MOD(MOD(C23,25),20),15),10)/5)&gt;0,INT(MOD(MOD(MOD(MOD(C23,25),20),15),10)/5)&amp;"x5 ","")&amp;IF(INT(MOD(MOD(MOD(MOD(MOD(C23,25),20),15),10),5)/2.5)&gt;0,INT(MOD(MOD(MOD(MOD(MOD(C23,25),20),15),10),5)/2.5)&amp;"x2.5 ","")&amp;IF(INT(MOD(MOD(MOD(MOD(MOD(MOD(C23,25),20),15),10),5),2.5)/1.25)&gt;0,INT(MOD(MOD(MOD(MOD(MOD(MOD(C23,25),20),15),10),5),2.5)/1.25)&amp;"x1.25 ","")))</f>
        <v>2x25 1x15</v>
      </c>
    </row>
  </sheetData>
  <mergeCells count="2">
    <mergeCell ref="A1:F1"/>
    <mergeCell ref="A9:F9"/>
  </mergeCells>
  <dataValidations count="1">
    <dataValidation allowBlank="false" errorStyle="stop" operator="between" showDropDown="false" showErrorMessage="false" showInputMessage="false" sqref="B6" type="list">
      <formula1>"1.25,2.5,5"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6" min="5" style="0" width="10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22"/>
  </cols>
  <sheetData>
    <row r="1" customFormat="false" ht="23.85" hidden="false" customHeight="fals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8" t="s">
        <v>16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15" hidden="false" customHeight="false" outlineLevel="0" collapsed="false">
      <c r="A3" s="19" t="s">
        <v>17</v>
      </c>
      <c r="B3" s="20" t="n">
        <f aca="false">設定!$B$4</f>
        <v>150</v>
      </c>
      <c r="C3" s="21" t="s">
        <v>18</v>
      </c>
    </row>
    <row r="5" customFormat="false" ht="17.15" hidden="false" customHeight="false" outlineLevel="0" collapsed="false">
      <c r="A5" s="10" t="s">
        <v>19</v>
      </c>
      <c r="B5" s="11" t="s">
        <v>20</v>
      </c>
      <c r="C5" s="10" t="s">
        <v>11</v>
      </c>
      <c r="D5" s="11" t="s">
        <v>21</v>
      </c>
      <c r="E5" s="11" t="s">
        <v>22</v>
      </c>
      <c r="F5" s="11" t="s">
        <v>23</v>
      </c>
      <c r="G5" s="11" t="s">
        <v>14</v>
      </c>
      <c r="H5" s="11" t="s">
        <v>24</v>
      </c>
      <c r="I5" s="11" t="s">
        <v>25</v>
      </c>
      <c r="J5" s="11" t="s">
        <v>26</v>
      </c>
      <c r="K5" s="11" t="s">
        <v>27</v>
      </c>
    </row>
    <row r="6" customFormat="false" ht="17.15" hidden="false" customHeight="false" outlineLevel="0" collapsed="false">
      <c r="A6" s="22" t="s">
        <v>28</v>
      </c>
      <c r="B6" s="22" t="s">
        <v>29</v>
      </c>
      <c r="C6" s="23" t="s">
        <v>30</v>
      </c>
      <c r="D6" s="24" t="n">
        <v>10</v>
      </c>
      <c r="E6" s="25" t="n">
        <f aca="false">設定!$B$5</f>
        <v>20</v>
      </c>
      <c r="F6" s="25" t="n">
        <f aca="false">MAX(0,(E6-設定!$B$5)/2)</f>
        <v>0</v>
      </c>
      <c r="G6" s="26" t="str">
        <f aca="false">IF(N(F6)&lt;=0,"",TRIM(IF(INT(F6/25)&gt;0,INT(F6/25)&amp;"x25 ","")&amp;IF(INT(MOD(F6,25)/20)&gt;0,INT(MOD(F6,25)/20)&amp;"x20 ","")&amp;IF(INT(MOD(MOD(F6,25),20)/15)&gt;0,INT(MOD(MOD(F6,25),20)/15)&amp;"x15 ","")&amp;IF(INT(MOD(MOD(MOD(F6,25),20),15)/10)&gt;0,INT(MOD(MOD(MOD(F6,25),20),15)/10)&amp;"x10 ","")&amp;IF(INT(MOD(MOD(MOD(MOD(F6,25),20),15),10)/5)&gt;0,INT(MOD(MOD(MOD(MOD(F6,25),20),15),10)/5)&amp;"x5 ","")&amp;IF(INT(MOD(MOD(MOD(MOD(MOD(F6,25),20),15),10),5)/2.5)&gt;0,INT(MOD(MOD(MOD(MOD(MOD(F6,25),20),15),10),5)/2.5)&amp;"x2.5 ","")&amp;IF(INT(MOD(MOD(MOD(MOD(MOD(MOD(F6,25),20),15),10),5),2.5)/1.25)&gt;0,INT(MOD(MOD(MOD(MOD(MOD(MOD(F6,25),20),15),10),5),2.5)/1.25)&amp;"x1.25 ","")))</f>
        <v/>
      </c>
      <c r="H6" s="24" t="s">
        <v>31</v>
      </c>
      <c r="I6" s="24" t="s">
        <v>30</v>
      </c>
      <c r="J6" s="24"/>
      <c r="K6" s="26"/>
    </row>
    <row r="7" customFormat="false" ht="17.15" hidden="false" customHeight="false" outlineLevel="0" collapsed="false">
      <c r="A7" s="22" t="s">
        <v>28</v>
      </c>
      <c r="B7" s="22" t="s">
        <v>29</v>
      </c>
      <c r="C7" s="27" t="n">
        <v>0.4</v>
      </c>
      <c r="D7" s="24" t="n">
        <v>5</v>
      </c>
      <c r="E7" s="25" t="n">
        <f aca="false">ROUND(設定!$B$4*C7/設定!$B$6,0)*設定!$B$6</f>
        <v>60</v>
      </c>
      <c r="F7" s="25" t="n">
        <f aca="false">MAX(0,(E7-設定!$B$5)/2)</f>
        <v>20</v>
      </c>
      <c r="G7" s="26" t="str">
        <f aca="false">IF(N(F7)&lt;=0,"",TRIM(IF(INT(F7/25)&gt;0,INT(F7/25)&amp;"x25 ","")&amp;IF(INT(MOD(F7,25)/20)&gt;0,INT(MOD(F7,25)/20)&amp;"x20 ","")&amp;IF(INT(MOD(MOD(F7,25),20)/15)&gt;0,INT(MOD(MOD(F7,25),20)/15)&amp;"x15 ","")&amp;IF(INT(MOD(MOD(MOD(F7,25),20),15)/10)&gt;0,INT(MOD(MOD(MOD(F7,25),20),15)/10)&amp;"x10 ","")&amp;IF(INT(MOD(MOD(MOD(MOD(F7,25),20),15),10)/5)&gt;0,INT(MOD(MOD(MOD(MOD(F7,25),20),15),10)/5)&amp;"x5 ","")&amp;IF(INT(MOD(MOD(MOD(MOD(MOD(F7,25),20),15),10),5)/2.5)&gt;0,INT(MOD(MOD(MOD(MOD(MOD(F7,25),20),15),10),5)/2.5)&amp;"x2.5 ","")&amp;IF(INT(MOD(MOD(MOD(MOD(MOD(MOD(F7,25),20),15),10),5),2.5)/1.25)&gt;0,INT(MOD(MOD(MOD(MOD(MOD(MOD(F7,25),20),15),10),5),2.5)/1.25)&amp;"x1.25 ","")))</f>
        <v>1x20</v>
      </c>
      <c r="H7" s="24" t="s">
        <v>31</v>
      </c>
      <c r="I7" s="24" t="s">
        <v>30</v>
      </c>
      <c r="J7" s="24"/>
      <c r="K7" s="26"/>
    </row>
    <row r="8" customFormat="false" ht="17.15" hidden="false" customHeight="false" outlineLevel="0" collapsed="false">
      <c r="A8" s="22" t="s">
        <v>28</v>
      </c>
      <c r="B8" s="22" t="s">
        <v>29</v>
      </c>
      <c r="C8" s="27" t="n">
        <v>0.55</v>
      </c>
      <c r="D8" s="24" t="n">
        <v>3</v>
      </c>
      <c r="E8" s="25" t="n">
        <f aca="false">ROUND(設定!$B$4*C8/設定!$B$6,0)*設定!$B$6</f>
        <v>82.5</v>
      </c>
      <c r="F8" s="25" t="n">
        <f aca="false">MAX(0,(E8-設定!$B$5)/2)</f>
        <v>31.25</v>
      </c>
      <c r="G8" s="26" t="str">
        <f aca="false">IF(N(F8)&lt;=0,"",TRIM(IF(INT(F8/25)&gt;0,INT(F8/25)&amp;"x25 ","")&amp;IF(INT(MOD(F8,25)/20)&gt;0,INT(MOD(F8,25)/20)&amp;"x20 ","")&amp;IF(INT(MOD(MOD(F8,25),20)/15)&gt;0,INT(MOD(MOD(F8,25),20)/15)&amp;"x15 ","")&amp;IF(INT(MOD(MOD(MOD(F8,25),20),15)/10)&gt;0,INT(MOD(MOD(MOD(F8,25),20),15)/10)&amp;"x10 ","")&amp;IF(INT(MOD(MOD(MOD(MOD(F8,25),20),15),10)/5)&gt;0,INT(MOD(MOD(MOD(MOD(F8,25),20),15),10)/5)&amp;"x5 ","")&amp;IF(INT(MOD(MOD(MOD(MOD(MOD(F8,25),20),15),10),5)/2.5)&gt;0,INT(MOD(MOD(MOD(MOD(MOD(F8,25),20),15),10),5)/2.5)&amp;"x2.5 ","")&amp;IF(INT(MOD(MOD(MOD(MOD(MOD(MOD(F8,25),20),15),10),5),2.5)/1.25)&gt;0,INT(MOD(MOD(MOD(MOD(MOD(MOD(F8,25),20),15),10),5),2.5)/1.25)&amp;"x1.25 ","")))</f>
        <v>1x25 1x5 1x1.25</v>
      </c>
      <c r="H8" s="24" t="s">
        <v>32</v>
      </c>
      <c r="I8" s="24" t="s">
        <v>30</v>
      </c>
      <c r="J8" s="24"/>
      <c r="K8" s="26"/>
    </row>
    <row r="9" customFormat="false" ht="17.15" hidden="false" customHeight="false" outlineLevel="0" collapsed="false">
      <c r="A9" s="22" t="s">
        <v>28</v>
      </c>
      <c r="B9" s="22" t="s">
        <v>29</v>
      </c>
      <c r="C9" s="27" t="n">
        <v>0.65</v>
      </c>
      <c r="D9" s="24" t="n">
        <v>3</v>
      </c>
      <c r="E9" s="25" t="n">
        <f aca="false">ROUND(設定!$B$4*C9/設定!$B$6,0)*設定!$B$6</f>
        <v>97.5</v>
      </c>
      <c r="F9" s="25" t="n">
        <f aca="false">MAX(0,(E9-設定!$B$5)/2)</f>
        <v>38.75</v>
      </c>
      <c r="G9" s="26" t="str">
        <f aca="false">IF(N(F9)&lt;=0,"",TRIM(IF(INT(F9/25)&gt;0,INT(F9/25)&amp;"x25 ","")&amp;IF(INT(MOD(F9,25)/20)&gt;0,INT(MOD(F9,25)/20)&amp;"x20 ","")&amp;IF(INT(MOD(MOD(F9,25),20)/15)&gt;0,INT(MOD(MOD(F9,25),20)/15)&amp;"x15 ","")&amp;IF(INT(MOD(MOD(MOD(F9,25),20),15)/10)&gt;0,INT(MOD(MOD(MOD(F9,25),20),15)/10)&amp;"x10 ","")&amp;IF(INT(MOD(MOD(MOD(MOD(F9,25),20),15),10)/5)&gt;0,INT(MOD(MOD(MOD(MOD(F9,25),20),15),10)/5)&amp;"x5 ","")&amp;IF(INT(MOD(MOD(MOD(MOD(MOD(F9,25),20),15),10),5)/2.5)&gt;0,INT(MOD(MOD(MOD(MOD(MOD(F9,25),20),15),10),5)/2.5)&amp;"x2.5 ","")&amp;IF(INT(MOD(MOD(MOD(MOD(MOD(MOD(F9,25),20),15),10),5),2.5)/1.25)&gt;0,INT(MOD(MOD(MOD(MOD(MOD(MOD(F9,25),20),15),10),5),2.5)/1.25)&amp;"x1.25 ","")))</f>
        <v>1x25 1x10 1x2.5 1x1.25</v>
      </c>
      <c r="H9" s="24" t="s">
        <v>32</v>
      </c>
      <c r="I9" s="24" t="s">
        <v>30</v>
      </c>
      <c r="J9" s="24"/>
      <c r="K9" s="26"/>
    </row>
    <row r="10" customFormat="false" ht="17.15" hidden="false" customHeight="false" outlineLevel="0" collapsed="false">
      <c r="A10" s="22" t="s">
        <v>28</v>
      </c>
      <c r="B10" s="22" t="s">
        <v>29</v>
      </c>
      <c r="C10" s="27" t="n">
        <v>0.75</v>
      </c>
      <c r="D10" s="24" t="n">
        <v>2</v>
      </c>
      <c r="E10" s="25" t="n">
        <f aca="false">ROUND(設定!$B$4*C10/設定!$B$6,0)*設定!$B$6</f>
        <v>112.5</v>
      </c>
      <c r="F10" s="25" t="n">
        <f aca="false">MAX(0,(E10-設定!$B$5)/2)</f>
        <v>46.25</v>
      </c>
      <c r="G10" s="26" t="str">
        <f aca="false">IF(N(F10)&lt;=0,"",TRIM(IF(INT(F10/25)&gt;0,INT(F10/25)&amp;"x25 ","")&amp;IF(INT(MOD(F10,25)/20)&gt;0,INT(MOD(F10,25)/20)&amp;"x20 ","")&amp;IF(INT(MOD(MOD(F10,25),20)/15)&gt;0,INT(MOD(MOD(F10,25),20)/15)&amp;"x15 ","")&amp;IF(INT(MOD(MOD(MOD(F10,25),20),15)/10)&gt;0,INT(MOD(MOD(MOD(F10,25),20),15)/10)&amp;"x10 ","")&amp;IF(INT(MOD(MOD(MOD(MOD(F10,25),20),15),10)/5)&gt;0,INT(MOD(MOD(MOD(MOD(F10,25),20),15),10)/5)&amp;"x5 ","")&amp;IF(INT(MOD(MOD(MOD(MOD(MOD(F10,25),20),15),10),5)/2.5)&gt;0,INT(MOD(MOD(MOD(MOD(MOD(F10,25),20),15),10),5)/2.5)&amp;"x2.5 ","")&amp;IF(INT(MOD(MOD(MOD(MOD(MOD(MOD(F10,25),20),15),10),5),2.5)/1.25)&gt;0,INT(MOD(MOD(MOD(MOD(MOD(MOD(F10,25),20),15),10),5),2.5)/1.25)&amp;"x1.25 ","")))</f>
        <v>1x25 1x20 1x1.25</v>
      </c>
      <c r="H10" s="24" t="s">
        <v>33</v>
      </c>
      <c r="I10" s="24" t="s">
        <v>30</v>
      </c>
      <c r="J10" s="24"/>
      <c r="K10" s="26"/>
    </row>
    <row r="11" customFormat="false" ht="17.15" hidden="false" customHeight="false" outlineLevel="0" collapsed="false">
      <c r="A11" s="28" t="n">
        <v>1</v>
      </c>
      <c r="B11" s="29" t="s">
        <v>34</v>
      </c>
      <c r="C11" s="12" t="n">
        <v>0.85</v>
      </c>
      <c r="D11" s="28" t="n">
        <v>3</v>
      </c>
      <c r="E11" s="30" t="n">
        <f aca="false">ROUND(設定!$B$4*C11/設定!$B$6,0)*設定!$B$6</f>
        <v>127.5</v>
      </c>
      <c r="F11" s="31" t="n">
        <f aca="false">MAX(0,(E11-設定!$B$5)/2)</f>
        <v>53.75</v>
      </c>
      <c r="G11" s="14" t="str">
        <f aca="false">IF(N(F11)&lt;=0,"",TRIM(IF(INT(F11/25)&gt;0,INT(F11/25)&amp;"x25 ","")&amp;IF(INT(MOD(F11,25)/20)&gt;0,INT(MOD(F11,25)/20)&amp;"x20 ","")&amp;IF(INT(MOD(MOD(F11,25),20)/15)&gt;0,INT(MOD(MOD(F11,25),20)/15)&amp;"x15 ","")&amp;IF(INT(MOD(MOD(MOD(F11,25),20),15)/10)&gt;0,INT(MOD(MOD(MOD(F11,25),20),15)/10)&amp;"x10 ","")&amp;IF(INT(MOD(MOD(MOD(MOD(F11,25),20),15),10)/5)&gt;0,INT(MOD(MOD(MOD(MOD(F11,25),20),15),10)/5)&amp;"x5 ","")&amp;IF(INT(MOD(MOD(MOD(MOD(MOD(F11,25),20),15),10),5)/2.5)&gt;0,INT(MOD(MOD(MOD(MOD(MOD(F11,25),20),15),10),5)/2.5)&amp;"x2.5 ","")&amp;IF(INT(MOD(MOD(MOD(MOD(MOD(MOD(F11,25),20),15),10),5),2.5)/1.25)&gt;0,INT(MOD(MOD(MOD(MOD(MOD(MOD(F11,25),20),15),10),5),2.5)/1.25)&amp;"x1.25 ","")))</f>
        <v>2x25 1x2.5 1x1.25</v>
      </c>
      <c r="H11" s="28" t="s">
        <v>35</v>
      </c>
      <c r="I11" s="28" t="s">
        <v>36</v>
      </c>
      <c r="J11" s="4"/>
      <c r="K11" s="32"/>
    </row>
    <row r="12" customFormat="false" ht="17.15" hidden="false" customHeight="false" outlineLevel="0" collapsed="false">
      <c r="A12" s="33" t="n">
        <v>2</v>
      </c>
      <c r="B12" s="34" t="s">
        <v>34</v>
      </c>
      <c r="C12" s="15" t="n">
        <v>0.88</v>
      </c>
      <c r="D12" s="33" t="n">
        <v>2</v>
      </c>
      <c r="E12" s="35" t="n">
        <f aca="false">ROUND(設定!$B$4*C12/設定!$B$6,0)*設定!$B$6</f>
        <v>132.5</v>
      </c>
      <c r="F12" s="36" t="n">
        <f aca="false">MAX(0,(E12-設定!$B$5)/2)</f>
        <v>56.25</v>
      </c>
      <c r="G12" s="17" t="str">
        <f aca="false">IF(N(F12)&lt;=0,"",TRIM(IF(INT(F12/25)&gt;0,INT(F12/25)&amp;"x25 ","")&amp;IF(INT(MOD(F12,25)/20)&gt;0,INT(MOD(F12,25)/20)&amp;"x20 ","")&amp;IF(INT(MOD(MOD(F12,25),20)/15)&gt;0,INT(MOD(MOD(F12,25),20)/15)&amp;"x15 ","")&amp;IF(INT(MOD(MOD(MOD(F12,25),20),15)/10)&gt;0,INT(MOD(MOD(MOD(F12,25),20),15)/10)&amp;"x10 ","")&amp;IF(INT(MOD(MOD(MOD(MOD(F12,25),20),15),10)/5)&gt;0,INT(MOD(MOD(MOD(MOD(F12,25),20),15),10)/5)&amp;"x5 ","")&amp;IF(INT(MOD(MOD(MOD(MOD(MOD(F12,25),20),15),10),5)/2.5)&gt;0,INT(MOD(MOD(MOD(MOD(MOD(F12,25),20),15),10),5)/2.5)&amp;"x2.5 ","")&amp;IF(INT(MOD(MOD(MOD(MOD(MOD(MOD(F12,25),20),15),10),5),2.5)/1.25)&gt;0,INT(MOD(MOD(MOD(MOD(MOD(MOD(F12,25),20),15),10),5),2.5)/1.25)&amp;"x1.25 ","")))</f>
        <v>2x25 1x5 1x1.25</v>
      </c>
      <c r="H12" s="33" t="s">
        <v>35</v>
      </c>
      <c r="I12" s="33" t="s">
        <v>37</v>
      </c>
      <c r="J12" s="4"/>
      <c r="K12" s="32"/>
    </row>
    <row r="13" customFormat="false" ht="17.15" hidden="false" customHeight="false" outlineLevel="0" collapsed="false">
      <c r="A13" s="28" t="n">
        <v>3</v>
      </c>
      <c r="B13" s="29" t="s">
        <v>34</v>
      </c>
      <c r="C13" s="12" t="n">
        <v>0.91</v>
      </c>
      <c r="D13" s="28" t="n">
        <v>1</v>
      </c>
      <c r="E13" s="30" t="n">
        <f aca="false">ROUND(設定!$B$4*C13/設定!$B$6,0)*設定!$B$6</f>
        <v>137.5</v>
      </c>
      <c r="F13" s="31" t="n">
        <f aca="false">MAX(0,(E13-設定!$B$5)/2)</f>
        <v>58.75</v>
      </c>
      <c r="G13" s="14" t="str">
        <f aca="false">IF(N(F13)&lt;=0,"",TRIM(IF(INT(F13/25)&gt;0,INT(F13/25)&amp;"x25 ","")&amp;IF(INT(MOD(F13,25)/20)&gt;0,INT(MOD(F13,25)/20)&amp;"x20 ","")&amp;IF(INT(MOD(MOD(F13,25),20)/15)&gt;0,INT(MOD(MOD(F13,25),20)/15)&amp;"x15 ","")&amp;IF(INT(MOD(MOD(MOD(F13,25),20),15)/10)&gt;0,INT(MOD(MOD(MOD(F13,25),20),15)/10)&amp;"x10 ","")&amp;IF(INT(MOD(MOD(MOD(MOD(F13,25),20),15),10)/5)&gt;0,INT(MOD(MOD(MOD(MOD(F13,25),20),15),10)/5)&amp;"x5 ","")&amp;IF(INT(MOD(MOD(MOD(MOD(MOD(F13,25),20),15),10),5)/2.5)&gt;0,INT(MOD(MOD(MOD(MOD(MOD(F13,25),20),15),10),5)/2.5)&amp;"x2.5 ","")&amp;IF(INT(MOD(MOD(MOD(MOD(MOD(MOD(F13,25),20),15),10),5),2.5)/1.25)&gt;0,INT(MOD(MOD(MOD(MOD(MOD(MOD(F13,25),20),15),10),5),2.5)/1.25)&amp;"x1.25 ","")))</f>
        <v>2x25 1x5 1x2.5 1x1.25</v>
      </c>
      <c r="H13" s="28" t="s">
        <v>38</v>
      </c>
      <c r="I13" s="28" t="s">
        <v>39</v>
      </c>
      <c r="J13" s="4"/>
      <c r="K13" s="32"/>
    </row>
    <row r="14" customFormat="false" ht="17.15" hidden="false" customHeight="false" outlineLevel="0" collapsed="false">
      <c r="A14" s="33" t="n">
        <v>4</v>
      </c>
      <c r="B14" s="34" t="s">
        <v>34</v>
      </c>
      <c r="C14" s="15" t="n">
        <v>0.94</v>
      </c>
      <c r="D14" s="33" t="n">
        <v>1</v>
      </c>
      <c r="E14" s="35" t="n">
        <f aca="false">ROUND(設定!$B$4*C14/設定!$B$6,0)*設定!$B$6</f>
        <v>140</v>
      </c>
      <c r="F14" s="36" t="n">
        <f aca="false">MAX(0,(E14-設定!$B$5)/2)</f>
        <v>60</v>
      </c>
      <c r="G14" s="17" t="str">
        <f aca="false">IF(N(F14)&lt;=0,"",TRIM(IF(INT(F14/25)&gt;0,INT(F14/25)&amp;"x25 ","")&amp;IF(INT(MOD(F14,25)/20)&gt;0,INT(MOD(F14,25)/20)&amp;"x20 ","")&amp;IF(INT(MOD(MOD(F14,25),20)/15)&gt;0,INT(MOD(MOD(F14,25),20)/15)&amp;"x15 ","")&amp;IF(INT(MOD(MOD(MOD(F14,25),20),15)/10)&gt;0,INT(MOD(MOD(MOD(F14,25),20),15)/10)&amp;"x10 ","")&amp;IF(INT(MOD(MOD(MOD(MOD(F14,25),20),15),10)/5)&gt;0,INT(MOD(MOD(MOD(MOD(F14,25),20),15),10)/5)&amp;"x5 ","")&amp;IF(INT(MOD(MOD(MOD(MOD(MOD(F14,25),20),15),10),5)/2.5)&gt;0,INT(MOD(MOD(MOD(MOD(MOD(F14,25),20),15),10),5)/2.5)&amp;"x2.5 ","")&amp;IF(INT(MOD(MOD(MOD(MOD(MOD(MOD(F14,25),20),15),10),5),2.5)/1.25)&gt;0,INT(MOD(MOD(MOD(MOD(MOD(MOD(F14,25),20),15),10),5),2.5)/1.25)&amp;"x1.25 ","")))</f>
        <v>2x25 1x10</v>
      </c>
      <c r="H14" s="33" t="s">
        <v>38</v>
      </c>
      <c r="I14" s="33" t="s">
        <v>40</v>
      </c>
      <c r="J14" s="4"/>
      <c r="K14" s="32"/>
    </row>
    <row r="15" customFormat="false" ht="17.15" hidden="false" customHeight="false" outlineLevel="0" collapsed="false">
      <c r="A15" s="28" t="n">
        <v>5</v>
      </c>
      <c r="B15" s="29" t="s">
        <v>34</v>
      </c>
      <c r="C15" s="12" t="n">
        <v>0.88</v>
      </c>
      <c r="D15" s="28" t="n">
        <v>2</v>
      </c>
      <c r="E15" s="30" t="n">
        <f aca="false">ROUND(設定!$B$4*C15/設定!$B$6,0)*設定!$B$6</f>
        <v>132.5</v>
      </c>
      <c r="F15" s="31" t="n">
        <f aca="false">MAX(0,(E15-設定!$B$5)/2)</f>
        <v>56.25</v>
      </c>
      <c r="G15" s="14" t="str">
        <f aca="false">IF(N(F15)&lt;=0,"",TRIM(IF(INT(F15/25)&gt;0,INT(F15/25)&amp;"x25 ","")&amp;IF(INT(MOD(F15,25)/20)&gt;0,INT(MOD(F15,25)/20)&amp;"x20 ","")&amp;IF(INT(MOD(MOD(F15,25),20)/15)&gt;0,INT(MOD(MOD(F15,25),20)/15)&amp;"x15 ","")&amp;IF(INT(MOD(MOD(MOD(F15,25),20),15)/10)&gt;0,INT(MOD(MOD(MOD(F15,25),20),15)/10)&amp;"x10 ","")&amp;IF(INT(MOD(MOD(MOD(MOD(F15,25),20),15),10)/5)&gt;0,INT(MOD(MOD(MOD(MOD(F15,25),20),15),10)/5)&amp;"x5 ","")&amp;IF(INT(MOD(MOD(MOD(MOD(MOD(F15,25),20),15),10),5)/2.5)&gt;0,INT(MOD(MOD(MOD(MOD(MOD(F15,25),20),15),10),5)/2.5)&amp;"x2.5 ","")&amp;IF(INT(MOD(MOD(MOD(MOD(MOD(MOD(F15,25),20),15),10),5),2.5)/1.25)&gt;0,INT(MOD(MOD(MOD(MOD(MOD(MOD(F15,25),20),15),10),5),2.5)/1.25)&amp;"x1.25 ","")))</f>
        <v>2x25 1x5 1x1.25</v>
      </c>
      <c r="H15" s="28" t="s">
        <v>35</v>
      </c>
      <c r="I15" s="28" t="s">
        <v>40</v>
      </c>
      <c r="J15" s="4"/>
      <c r="K15" s="32"/>
    </row>
    <row r="16" customFormat="false" ht="15" hidden="false" customHeight="false" outlineLevel="0" collapsed="false">
      <c r="A16" s="33" t="n">
        <v>6</v>
      </c>
      <c r="B16" s="34" t="s">
        <v>34</v>
      </c>
      <c r="C16" s="15" t="n">
        <v>0.85</v>
      </c>
      <c r="D16" s="33" t="n">
        <v>3</v>
      </c>
      <c r="E16" s="35" t="n">
        <f aca="false">ROUND(設定!$B$4*C16/設定!$B$6,0)*設定!$B$6</f>
        <v>127.5</v>
      </c>
      <c r="F16" s="36" t="n">
        <f aca="false">MAX(0,(E16-設定!$B$5)/2)</f>
        <v>53.75</v>
      </c>
      <c r="G16" s="17" t="str">
        <f aca="false">IF(N(F16)&lt;=0,"",TRIM(IF(INT(F16/25)&gt;0,INT(F16/25)&amp;"x25 ","")&amp;IF(INT(MOD(F16,25)/20)&gt;0,INT(MOD(F16,25)/20)&amp;"x20 ","")&amp;IF(INT(MOD(MOD(F16,25),20)/15)&gt;0,INT(MOD(MOD(F16,25),20)/15)&amp;"x15 ","")&amp;IF(INT(MOD(MOD(MOD(F16,25),20),15)/10)&gt;0,INT(MOD(MOD(MOD(F16,25),20),15)/10)&amp;"x10 ","")&amp;IF(INT(MOD(MOD(MOD(MOD(F16,25),20),15),10)/5)&gt;0,INT(MOD(MOD(MOD(MOD(F16,25),20),15),10)/5)&amp;"x5 ","")&amp;IF(INT(MOD(MOD(MOD(MOD(MOD(F16,25),20),15),10),5)/2.5)&gt;0,INT(MOD(MOD(MOD(MOD(MOD(F16,25),20),15),10),5)/2.5)&amp;"x2.5 ","")&amp;IF(INT(MOD(MOD(MOD(MOD(MOD(MOD(F16,25),20),15),10),5),2.5)/1.25)&gt;0,INT(MOD(MOD(MOD(MOD(MOD(MOD(F16,25),20),15),10),5),2.5)/1.25)&amp;"x1.25 ","")))</f>
        <v>2x25 1x2.5 1x1.25</v>
      </c>
      <c r="H16" s="33" t="s">
        <v>30</v>
      </c>
      <c r="I16" s="33" t="s">
        <v>41</v>
      </c>
      <c r="J16" s="4"/>
      <c r="K16" s="32"/>
    </row>
    <row r="18" customFormat="false" ht="15" hidden="false" customHeight="false" outlineLevel="0" collapsed="false">
      <c r="A18" s="37" t="s">
        <v>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 customFormat="false" ht="15" hidden="false" customHeight="false" outlineLevel="0" collapsed="false">
      <c r="A19" s="38" t="s">
        <v>43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</row>
    <row r="20" customFormat="false" ht="15" hidden="false" customHeight="false" outlineLevel="0" collapsed="false">
      <c r="A20" s="38" t="s">
        <v>44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customFormat="false" ht="15" hidden="false" customHeight="false" outlineLevel="0" collapsed="false">
      <c r="A21" s="38" t="s">
        <v>45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</row>
  </sheetData>
  <mergeCells count="6">
    <mergeCell ref="A1:K1"/>
    <mergeCell ref="A2:K2"/>
    <mergeCell ref="A18:K18"/>
    <mergeCell ref="A19:K19"/>
    <mergeCell ref="A20:K20"/>
    <mergeCell ref="A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6" min="5" style="0" width="10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22"/>
  </cols>
  <sheetData>
    <row r="1" customFormat="false" ht="23.85" hidden="false" customHeight="fals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8" t="s">
        <v>47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15" hidden="false" customHeight="false" outlineLevel="0" collapsed="false">
      <c r="A3" s="19" t="s">
        <v>17</v>
      </c>
      <c r="B3" s="20" t="n">
        <f aca="false">設定!$B$4</f>
        <v>150</v>
      </c>
      <c r="C3" s="21" t="s">
        <v>18</v>
      </c>
    </row>
    <row r="5" customFormat="false" ht="17.15" hidden="false" customHeight="false" outlineLevel="0" collapsed="false">
      <c r="A5" s="10" t="s">
        <v>19</v>
      </c>
      <c r="B5" s="11" t="s">
        <v>20</v>
      </c>
      <c r="C5" s="10" t="s">
        <v>11</v>
      </c>
      <c r="D5" s="11" t="s">
        <v>21</v>
      </c>
      <c r="E5" s="11" t="s">
        <v>22</v>
      </c>
      <c r="F5" s="11" t="s">
        <v>23</v>
      </c>
      <c r="G5" s="11" t="s">
        <v>14</v>
      </c>
      <c r="H5" s="11" t="s">
        <v>24</v>
      </c>
      <c r="I5" s="11" t="s">
        <v>25</v>
      </c>
      <c r="J5" s="11" t="s">
        <v>26</v>
      </c>
      <c r="K5" s="11" t="s">
        <v>27</v>
      </c>
    </row>
    <row r="6" customFormat="false" ht="17.15" hidden="false" customHeight="false" outlineLevel="0" collapsed="false">
      <c r="A6" s="22" t="s">
        <v>28</v>
      </c>
      <c r="B6" s="22" t="s">
        <v>29</v>
      </c>
      <c r="C6" s="23" t="s">
        <v>30</v>
      </c>
      <c r="D6" s="24" t="n">
        <v>10</v>
      </c>
      <c r="E6" s="25" t="n">
        <f aca="false">設定!$B$5</f>
        <v>20</v>
      </c>
      <c r="F6" s="25" t="n">
        <f aca="false">MAX(0,(E6-設定!$B$5)/2)</f>
        <v>0</v>
      </c>
      <c r="G6" s="26" t="str">
        <f aca="false">IF(N(F6)&lt;=0,"",TRIM(IF(INT(F6/25)&gt;0,INT(F6/25)&amp;"x25 ","")&amp;IF(INT(MOD(F6,25)/20)&gt;0,INT(MOD(F6,25)/20)&amp;"x20 ","")&amp;IF(INT(MOD(MOD(F6,25),20)/15)&gt;0,INT(MOD(MOD(F6,25),20)/15)&amp;"x15 ","")&amp;IF(INT(MOD(MOD(MOD(F6,25),20),15)/10)&gt;0,INT(MOD(MOD(MOD(F6,25),20),15)/10)&amp;"x10 ","")&amp;IF(INT(MOD(MOD(MOD(MOD(F6,25),20),15),10)/5)&gt;0,INT(MOD(MOD(MOD(MOD(F6,25),20),15),10)/5)&amp;"x5 ","")&amp;IF(INT(MOD(MOD(MOD(MOD(MOD(F6,25),20),15),10),5)/2.5)&gt;0,INT(MOD(MOD(MOD(MOD(MOD(F6,25),20),15),10),5)/2.5)&amp;"x2.5 ","")&amp;IF(INT(MOD(MOD(MOD(MOD(MOD(MOD(F6,25),20),15),10),5),2.5)/1.25)&gt;0,INT(MOD(MOD(MOD(MOD(MOD(MOD(F6,25),20),15),10),5),2.5)/1.25)&amp;"x1.25 ","")))</f>
        <v/>
      </c>
      <c r="H6" s="24" t="s">
        <v>31</v>
      </c>
      <c r="I6" s="24" t="s">
        <v>30</v>
      </c>
      <c r="J6" s="24"/>
      <c r="K6" s="26"/>
    </row>
    <row r="7" customFormat="false" ht="17.15" hidden="false" customHeight="false" outlineLevel="0" collapsed="false">
      <c r="A7" s="22" t="s">
        <v>28</v>
      </c>
      <c r="B7" s="22" t="s">
        <v>29</v>
      </c>
      <c r="C7" s="27" t="n">
        <v>0.4</v>
      </c>
      <c r="D7" s="24" t="n">
        <v>5</v>
      </c>
      <c r="E7" s="25" t="n">
        <f aca="false">ROUND(設定!$B$4*C7/設定!$B$6,0)*設定!$B$6</f>
        <v>60</v>
      </c>
      <c r="F7" s="25" t="n">
        <f aca="false">MAX(0,(E7-設定!$B$5)/2)</f>
        <v>20</v>
      </c>
      <c r="G7" s="26" t="str">
        <f aca="false">IF(N(F7)&lt;=0,"",TRIM(IF(INT(F7/25)&gt;0,INT(F7/25)&amp;"x25 ","")&amp;IF(INT(MOD(F7,25)/20)&gt;0,INT(MOD(F7,25)/20)&amp;"x20 ","")&amp;IF(INT(MOD(MOD(F7,25),20)/15)&gt;0,INT(MOD(MOD(F7,25),20)/15)&amp;"x15 ","")&amp;IF(INT(MOD(MOD(MOD(F7,25),20),15)/10)&gt;0,INT(MOD(MOD(MOD(F7,25),20),15)/10)&amp;"x10 ","")&amp;IF(INT(MOD(MOD(MOD(MOD(F7,25),20),15),10)/5)&gt;0,INT(MOD(MOD(MOD(MOD(F7,25),20),15),10)/5)&amp;"x5 ","")&amp;IF(INT(MOD(MOD(MOD(MOD(MOD(F7,25),20),15),10),5)/2.5)&gt;0,INT(MOD(MOD(MOD(MOD(MOD(F7,25),20),15),10),5)/2.5)&amp;"x2.5 ","")&amp;IF(INT(MOD(MOD(MOD(MOD(MOD(MOD(F7,25),20),15),10),5),2.5)/1.25)&gt;0,INT(MOD(MOD(MOD(MOD(MOD(MOD(F7,25),20),15),10),5),2.5)/1.25)&amp;"x1.25 ","")))</f>
        <v>1x20</v>
      </c>
      <c r="H7" s="24" t="s">
        <v>31</v>
      </c>
      <c r="I7" s="24" t="s">
        <v>30</v>
      </c>
      <c r="J7" s="24"/>
      <c r="K7" s="26"/>
    </row>
    <row r="8" customFormat="false" ht="17.15" hidden="false" customHeight="false" outlineLevel="0" collapsed="false">
      <c r="A8" s="22" t="s">
        <v>28</v>
      </c>
      <c r="B8" s="22" t="s">
        <v>29</v>
      </c>
      <c r="C8" s="27" t="n">
        <v>0.55</v>
      </c>
      <c r="D8" s="24" t="n">
        <v>3</v>
      </c>
      <c r="E8" s="25" t="n">
        <f aca="false">ROUND(設定!$B$4*C8/設定!$B$6,0)*設定!$B$6</f>
        <v>82.5</v>
      </c>
      <c r="F8" s="25" t="n">
        <f aca="false">MAX(0,(E8-設定!$B$5)/2)</f>
        <v>31.25</v>
      </c>
      <c r="G8" s="26" t="str">
        <f aca="false">IF(N(F8)&lt;=0,"",TRIM(IF(INT(F8/25)&gt;0,INT(F8/25)&amp;"x25 ","")&amp;IF(INT(MOD(F8,25)/20)&gt;0,INT(MOD(F8,25)/20)&amp;"x20 ","")&amp;IF(INT(MOD(MOD(F8,25),20)/15)&gt;0,INT(MOD(MOD(F8,25),20)/15)&amp;"x15 ","")&amp;IF(INT(MOD(MOD(MOD(F8,25),20),15)/10)&gt;0,INT(MOD(MOD(MOD(F8,25),20),15)/10)&amp;"x10 ","")&amp;IF(INT(MOD(MOD(MOD(MOD(F8,25),20),15),10)/5)&gt;0,INT(MOD(MOD(MOD(MOD(F8,25),20),15),10)/5)&amp;"x5 ","")&amp;IF(INT(MOD(MOD(MOD(MOD(MOD(F8,25),20),15),10),5)/2.5)&gt;0,INT(MOD(MOD(MOD(MOD(MOD(F8,25),20),15),10),5)/2.5)&amp;"x2.5 ","")&amp;IF(INT(MOD(MOD(MOD(MOD(MOD(MOD(F8,25),20),15),10),5),2.5)/1.25)&gt;0,INT(MOD(MOD(MOD(MOD(MOD(MOD(F8,25),20),15),10),5),2.5)/1.25)&amp;"x1.25 ","")))</f>
        <v>1x25 1x5 1x1.25</v>
      </c>
      <c r="H8" s="24" t="s">
        <v>32</v>
      </c>
      <c r="I8" s="24" t="s">
        <v>30</v>
      </c>
      <c r="J8" s="24"/>
      <c r="K8" s="26"/>
    </row>
    <row r="9" customFormat="false" ht="17.15" hidden="false" customHeight="false" outlineLevel="0" collapsed="false">
      <c r="A9" s="22" t="s">
        <v>28</v>
      </c>
      <c r="B9" s="22" t="s">
        <v>29</v>
      </c>
      <c r="C9" s="27" t="n">
        <v>0.65</v>
      </c>
      <c r="D9" s="24" t="n">
        <v>3</v>
      </c>
      <c r="E9" s="25" t="n">
        <f aca="false">ROUND(設定!$B$4*C9/設定!$B$6,0)*設定!$B$6</f>
        <v>97.5</v>
      </c>
      <c r="F9" s="25" t="n">
        <f aca="false">MAX(0,(E9-設定!$B$5)/2)</f>
        <v>38.75</v>
      </c>
      <c r="G9" s="26" t="str">
        <f aca="false">IF(N(F9)&lt;=0,"",TRIM(IF(INT(F9/25)&gt;0,INT(F9/25)&amp;"x25 ","")&amp;IF(INT(MOD(F9,25)/20)&gt;0,INT(MOD(F9,25)/20)&amp;"x20 ","")&amp;IF(INT(MOD(MOD(F9,25),20)/15)&gt;0,INT(MOD(MOD(F9,25),20)/15)&amp;"x15 ","")&amp;IF(INT(MOD(MOD(MOD(F9,25),20),15)/10)&gt;0,INT(MOD(MOD(MOD(F9,25),20),15)/10)&amp;"x10 ","")&amp;IF(INT(MOD(MOD(MOD(MOD(F9,25),20),15),10)/5)&gt;0,INT(MOD(MOD(MOD(MOD(F9,25),20),15),10)/5)&amp;"x5 ","")&amp;IF(INT(MOD(MOD(MOD(MOD(MOD(F9,25),20),15),10),5)/2.5)&gt;0,INT(MOD(MOD(MOD(MOD(MOD(F9,25),20),15),10),5)/2.5)&amp;"x2.5 ","")&amp;IF(INT(MOD(MOD(MOD(MOD(MOD(MOD(F9,25),20),15),10),5),2.5)/1.25)&gt;0,INT(MOD(MOD(MOD(MOD(MOD(MOD(F9,25),20),15),10),5),2.5)/1.25)&amp;"x1.25 ","")))</f>
        <v>1x25 1x10 1x2.5 1x1.25</v>
      </c>
      <c r="H9" s="24" t="s">
        <v>32</v>
      </c>
      <c r="I9" s="24" t="s">
        <v>30</v>
      </c>
      <c r="J9" s="24"/>
      <c r="K9" s="26"/>
    </row>
    <row r="10" customFormat="false" ht="17.15" hidden="false" customHeight="false" outlineLevel="0" collapsed="false">
      <c r="A10" s="28" t="n">
        <v>1</v>
      </c>
      <c r="B10" s="29" t="s">
        <v>34</v>
      </c>
      <c r="C10" s="12" t="n">
        <v>0.725</v>
      </c>
      <c r="D10" s="28" t="n">
        <v>5</v>
      </c>
      <c r="E10" s="30" t="n">
        <f aca="false">ROUND(設定!$B$4*C10/設定!$B$6,0)*設定!$B$6</f>
        <v>110</v>
      </c>
      <c r="F10" s="31" t="n">
        <f aca="false">MAX(0,(E10-設定!$B$5)/2)</f>
        <v>45</v>
      </c>
      <c r="G10" s="14" t="str">
        <f aca="false">IF(N(F10)&lt;=0,"",TRIM(IF(INT(F10/25)&gt;0,INT(F10/25)&amp;"x25 ","")&amp;IF(INT(MOD(F10,25)/20)&gt;0,INT(MOD(F10,25)/20)&amp;"x20 ","")&amp;IF(INT(MOD(MOD(F10,25),20)/15)&gt;0,INT(MOD(MOD(F10,25),20)/15)&amp;"x15 ","")&amp;IF(INT(MOD(MOD(MOD(F10,25),20),15)/10)&gt;0,INT(MOD(MOD(MOD(F10,25),20),15)/10)&amp;"x10 ","")&amp;IF(INT(MOD(MOD(MOD(MOD(F10,25),20),15),10)/5)&gt;0,INT(MOD(MOD(MOD(MOD(F10,25),20),15),10)/5)&amp;"x5 ","")&amp;IF(INT(MOD(MOD(MOD(MOD(MOD(F10,25),20),15),10),5)/2.5)&gt;0,INT(MOD(MOD(MOD(MOD(MOD(F10,25),20),15),10),5)/2.5)&amp;"x2.5 ","")&amp;IF(INT(MOD(MOD(MOD(MOD(MOD(MOD(F10,25),20),15),10),5),2.5)/1.25)&gt;0,INT(MOD(MOD(MOD(MOD(MOD(MOD(F10,25),20),15),10),5),2.5)/1.25)&amp;"x1.25 ","")))</f>
        <v>1x25 1x20</v>
      </c>
      <c r="H10" s="28" t="s">
        <v>48</v>
      </c>
      <c r="I10" s="28" t="s">
        <v>49</v>
      </c>
      <c r="J10" s="4"/>
      <c r="K10" s="32"/>
    </row>
    <row r="11" customFormat="false" ht="17.15" hidden="false" customHeight="false" outlineLevel="0" collapsed="false">
      <c r="A11" s="33" t="n">
        <v>2</v>
      </c>
      <c r="B11" s="34" t="s">
        <v>34</v>
      </c>
      <c r="C11" s="15" t="n">
        <v>0.775</v>
      </c>
      <c r="D11" s="33" t="n">
        <v>5</v>
      </c>
      <c r="E11" s="35" t="n">
        <f aca="false">ROUND(設定!$B$4*C11/設定!$B$6,0)*設定!$B$6</f>
        <v>117.5</v>
      </c>
      <c r="F11" s="36" t="n">
        <f aca="false">MAX(0,(E11-設定!$B$5)/2)</f>
        <v>48.75</v>
      </c>
      <c r="G11" s="17" t="str">
        <f aca="false">IF(N(F11)&lt;=0,"",TRIM(IF(INT(F11/25)&gt;0,INT(F11/25)&amp;"x25 ","")&amp;IF(INT(MOD(F11,25)/20)&gt;0,INT(MOD(F11,25)/20)&amp;"x20 ","")&amp;IF(INT(MOD(MOD(F11,25),20)/15)&gt;0,INT(MOD(MOD(F11,25),20)/15)&amp;"x15 ","")&amp;IF(INT(MOD(MOD(MOD(F11,25),20),15)/10)&gt;0,INT(MOD(MOD(MOD(F11,25),20),15)/10)&amp;"x10 ","")&amp;IF(INT(MOD(MOD(MOD(MOD(F11,25),20),15),10)/5)&gt;0,INT(MOD(MOD(MOD(MOD(F11,25),20),15),10)/5)&amp;"x5 ","")&amp;IF(INT(MOD(MOD(MOD(MOD(MOD(F11,25),20),15),10),5)/2.5)&gt;0,INT(MOD(MOD(MOD(MOD(MOD(F11,25),20),15),10),5)/2.5)&amp;"x2.5 ","")&amp;IF(INT(MOD(MOD(MOD(MOD(MOD(MOD(F11,25),20),15),10),5),2.5)/1.25)&gt;0,INT(MOD(MOD(MOD(MOD(MOD(MOD(F11,25),20),15),10),5),2.5)/1.25)&amp;"x1.25 ","")))</f>
        <v>1x25 1x20 1x2.5 1x1.25</v>
      </c>
      <c r="H11" s="33" t="s">
        <v>35</v>
      </c>
      <c r="I11" s="33" t="s">
        <v>50</v>
      </c>
      <c r="J11" s="4"/>
      <c r="K11" s="32"/>
    </row>
    <row r="12" customFormat="false" ht="17.15" hidden="false" customHeight="false" outlineLevel="0" collapsed="false">
      <c r="A12" s="28" t="n">
        <v>3</v>
      </c>
      <c r="B12" s="29" t="s">
        <v>34</v>
      </c>
      <c r="C12" s="12" t="n">
        <v>0.825</v>
      </c>
      <c r="D12" s="28" t="n">
        <v>3</v>
      </c>
      <c r="E12" s="30" t="n">
        <f aca="false">ROUND(設定!$B$4*C12/設定!$B$6,0)*設定!$B$6</f>
        <v>125</v>
      </c>
      <c r="F12" s="31" t="n">
        <f aca="false">MAX(0,(E12-設定!$B$5)/2)</f>
        <v>52.5</v>
      </c>
      <c r="G12" s="14" t="str">
        <f aca="false">IF(N(F12)&lt;=0,"",TRIM(IF(INT(F12/25)&gt;0,INT(F12/25)&amp;"x25 ","")&amp;IF(INT(MOD(F12,25)/20)&gt;0,INT(MOD(F12,25)/20)&amp;"x20 ","")&amp;IF(INT(MOD(MOD(F12,25),20)/15)&gt;0,INT(MOD(MOD(F12,25),20)/15)&amp;"x15 ","")&amp;IF(INT(MOD(MOD(MOD(F12,25),20),15)/10)&gt;0,INT(MOD(MOD(MOD(F12,25),20),15)/10)&amp;"x10 ","")&amp;IF(INT(MOD(MOD(MOD(MOD(F12,25),20),15),10)/5)&gt;0,INT(MOD(MOD(MOD(MOD(F12,25),20),15),10)/5)&amp;"x5 ","")&amp;IF(INT(MOD(MOD(MOD(MOD(MOD(F12,25),20),15),10),5)/2.5)&gt;0,INT(MOD(MOD(MOD(MOD(MOD(F12,25),20),15),10),5)/2.5)&amp;"x2.5 ","")&amp;IF(INT(MOD(MOD(MOD(MOD(MOD(MOD(F12,25),20),15),10),5),2.5)/1.25)&gt;0,INT(MOD(MOD(MOD(MOD(MOD(MOD(F12,25),20),15),10),5),2.5)/1.25)&amp;"x1.25 ","")))</f>
        <v>2x25 1x2.5</v>
      </c>
      <c r="H12" s="28" t="s">
        <v>35</v>
      </c>
      <c r="I12" s="28" t="s">
        <v>36</v>
      </c>
      <c r="J12" s="4"/>
      <c r="K12" s="32"/>
    </row>
    <row r="13" customFormat="false" ht="17.15" hidden="false" customHeight="false" outlineLevel="0" collapsed="false">
      <c r="A13" s="33" t="n">
        <v>4</v>
      </c>
      <c r="B13" s="34" t="s">
        <v>34</v>
      </c>
      <c r="C13" s="15" t="n">
        <v>0.85</v>
      </c>
      <c r="D13" s="33" t="n">
        <v>3</v>
      </c>
      <c r="E13" s="35" t="n">
        <f aca="false">ROUND(設定!$B$4*C13/設定!$B$6,0)*設定!$B$6</f>
        <v>127.5</v>
      </c>
      <c r="F13" s="36" t="n">
        <f aca="false">MAX(0,(E13-設定!$B$5)/2)</f>
        <v>53.75</v>
      </c>
      <c r="G13" s="17" t="str">
        <f aca="false">IF(N(F13)&lt;=0,"",TRIM(IF(INT(F13/25)&gt;0,INT(F13/25)&amp;"x25 ","")&amp;IF(INT(MOD(F13,25)/20)&gt;0,INT(MOD(F13,25)/20)&amp;"x20 ","")&amp;IF(INT(MOD(MOD(F13,25),20)/15)&gt;0,INT(MOD(MOD(F13,25),20)/15)&amp;"x15 ","")&amp;IF(INT(MOD(MOD(MOD(F13,25),20),15)/10)&gt;0,INT(MOD(MOD(MOD(F13,25),20),15)/10)&amp;"x10 ","")&amp;IF(INT(MOD(MOD(MOD(MOD(F13,25),20),15),10)/5)&gt;0,INT(MOD(MOD(MOD(MOD(F13,25),20),15),10)/5)&amp;"x5 ","")&amp;IF(INT(MOD(MOD(MOD(MOD(MOD(F13,25),20),15),10),5)/2.5)&gt;0,INT(MOD(MOD(MOD(MOD(MOD(F13,25),20),15),10),5)/2.5)&amp;"x2.5 ","")&amp;IF(INT(MOD(MOD(MOD(MOD(MOD(MOD(F13,25),20),15),10),5),2.5)/1.25)&gt;0,INT(MOD(MOD(MOD(MOD(MOD(MOD(F13,25),20),15),10),5),2.5)/1.25)&amp;"x1.25 ","")))</f>
        <v>2x25 1x2.5 1x1.25</v>
      </c>
      <c r="H13" s="33" t="s">
        <v>35</v>
      </c>
      <c r="I13" s="33" t="s">
        <v>37</v>
      </c>
      <c r="J13" s="4"/>
      <c r="K13" s="32"/>
    </row>
    <row r="14" customFormat="false" ht="17.15" hidden="false" customHeight="false" outlineLevel="0" collapsed="false">
      <c r="A14" s="28" t="n">
        <v>5</v>
      </c>
      <c r="B14" s="29" t="s">
        <v>34</v>
      </c>
      <c r="C14" s="12" t="n">
        <v>0.875</v>
      </c>
      <c r="D14" s="28" t="n">
        <v>2</v>
      </c>
      <c r="E14" s="30" t="n">
        <f aca="false">ROUND(設定!$B$4*C14/設定!$B$6,0)*設定!$B$6</f>
        <v>132.5</v>
      </c>
      <c r="F14" s="31" t="n">
        <f aca="false">MAX(0,(E14-設定!$B$5)/2)</f>
        <v>56.25</v>
      </c>
      <c r="G14" s="14" t="str">
        <f aca="false">IF(N(F14)&lt;=0,"",TRIM(IF(INT(F14/25)&gt;0,INT(F14/25)&amp;"x25 ","")&amp;IF(INT(MOD(F14,25)/20)&gt;0,INT(MOD(F14,25)/20)&amp;"x20 ","")&amp;IF(INT(MOD(MOD(F14,25),20)/15)&gt;0,INT(MOD(MOD(F14,25),20)/15)&amp;"x15 ","")&amp;IF(INT(MOD(MOD(MOD(F14,25),20),15)/10)&gt;0,INT(MOD(MOD(MOD(F14,25),20),15)/10)&amp;"x10 ","")&amp;IF(INT(MOD(MOD(MOD(MOD(F14,25),20),15),10)/5)&gt;0,INT(MOD(MOD(MOD(MOD(F14,25),20),15),10)/5)&amp;"x5 ","")&amp;IF(INT(MOD(MOD(MOD(MOD(MOD(F14,25),20),15),10),5)/2.5)&gt;0,INT(MOD(MOD(MOD(MOD(MOD(F14,25),20),15),10),5)/2.5)&amp;"x2.5 ","")&amp;IF(INT(MOD(MOD(MOD(MOD(MOD(MOD(F14,25),20),15),10),5),2.5)/1.25)&gt;0,INT(MOD(MOD(MOD(MOD(MOD(MOD(F14,25),20),15),10),5),2.5)/1.25)&amp;"x1.25 ","")))</f>
        <v>2x25 1x5 1x1.25</v>
      </c>
      <c r="H14" s="28" t="s">
        <v>35</v>
      </c>
      <c r="I14" s="28" t="s">
        <v>39</v>
      </c>
      <c r="J14" s="4"/>
      <c r="K14" s="32"/>
    </row>
    <row r="15" customFormat="false" ht="17.15" hidden="false" customHeight="false" outlineLevel="0" collapsed="false">
      <c r="A15" s="33" t="n">
        <v>6</v>
      </c>
      <c r="B15" s="34" t="s">
        <v>34</v>
      </c>
      <c r="C15" s="15" t="n">
        <v>0.825</v>
      </c>
      <c r="D15" s="33" t="n">
        <v>4</v>
      </c>
      <c r="E15" s="35" t="n">
        <f aca="false">ROUND(設定!$B$4*C15/設定!$B$6,0)*設定!$B$6</f>
        <v>125</v>
      </c>
      <c r="F15" s="36" t="n">
        <f aca="false">MAX(0,(E15-設定!$B$5)/2)</f>
        <v>52.5</v>
      </c>
      <c r="G15" s="17" t="str">
        <f aca="false">IF(N(F15)&lt;=0,"",TRIM(IF(INT(F15/25)&gt;0,INT(F15/25)&amp;"x25 ","")&amp;IF(INT(MOD(F15,25)/20)&gt;0,INT(MOD(F15,25)/20)&amp;"x20 ","")&amp;IF(INT(MOD(MOD(F15,25),20)/15)&gt;0,INT(MOD(MOD(F15,25),20)/15)&amp;"x15 ","")&amp;IF(INT(MOD(MOD(MOD(F15,25),20),15)/10)&gt;0,INT(MOD(MOD(MOD(F15,25),20),15)/10)&amp;"x10 ","")&amp;IF(INT(MOD(MOD(MOD(MOD(F15,25),20),15),10)/5)&gt;0,INT(MOD(MOD(MOD(MOD(F15,25),20),15),10)/5)&amp;"x5 ","")&amp;IF(INT(MOD(MOD(MOD(MOD(MOD(F15,25),20),15),10),5)/2.5)&gt;0,INT(MOD(MOD(MOD(MOD(MOD(F15,25),20),15),10),5)/2.5)&amp;"x2.5 ","")&amp;IF(INT(MOD(MOD(MOD(MOD(MOD(MOD(F15,25),20),15),10),5),2.5)/1.25)&gt;0,INT(MOD(MOD(MOD(MOD(MOD(MOD(F15,25),20),15),10),5),2.5)/1.25)&amp;"x1.25 ","")))</f>
        <v>2x25 1x2.5</v>
      </c>
      <c r="H15" s="33" t="s">
        <v>35</v>
      </c>
      <c r="I15" s="33" t="s">
        <v>40</v>
      </c>
      <c r="J15" s="4"/>
      <c r="K15" s="32"/>
    </row>
    <row r="16" customFormat="false" ht="17.15" hidden="false" customHeight="false" outlineLevel="0" collapsed="false">
      <c r="A16" s="28" t="n">
        <v>7</v>
      </c>
      <c r="B16" s="29" t="s">
        <v>34</v>
      </c>
      <c r="C16" s="12" t="n">
        <v>0.775</v>
      </c>
      <c r="D16" s="28" t="n">
        <v>5</v>
      </c>
      <c r="E16" s="30" t="n">
        <f aca="false">ROUND(設定!$B$4*C16/設定!$B$6,0)*設定!$B$6</f>
        <v>117.5</v>
      </c>
      <c r="F16" s="31" t="n">
        <f aca="false">MAX(0,(E16-設定!$B$5)/2)</f>
        <v>48.75</v>
      </c>
      <c r="G16" s="14" t="str">
        <f aca="false">IF(N(F16)&lt;=0,"",TRIM(IF(INT(F16/25)&gt;0,INT(F16/25)&amp;"x25 ","")&amp;IF(INT(MOD(F16,25)/20)&gt;0,INT(MOD(F16,25)/20)&amp;"x20 ","")&amp;IF(INT(MOD(MOD(F16,25),20)/15)&gt;0,INT(MOD(MOD(F16,25),20)/15)&amp;"x15 ","")&amp;IF(INT(MOD(MOD(MOD(F16,25),20),15)/10)&gt;0,INT(MOD(MOD(MOD(F16,25),20),15)/10)&amp;"x10 ","")&amp;IF(INT(MOD(MOD(MOD(MOD(F16,25),20),15),10)/5)&gt;0,INT(MOD(MOD(MOD(MOD(F16,25),20),15),10)/5)&amp;"x5 ","")&amp;IF(INT(MOD(MOD(MOD(MOD(MOD(F16,25),20),15),10),5)/2.5)&gt;0,INT(MOD(MOD(MOD(MOD(MOD(F16,25),20),15),10),5)/2.5)&amp;"x2.5 ","")&amp;IF(INT(MOD(MOD(MOD(MOD(MOD(MOD(F16,25),20),15),10),5),2.5)/1.25)&gt;0,INT(MOD(MOD(MOD(MOD(MOD(MOD(F16,25),20),15),10),5),2.5)/1.25)&amp;"x1.25 ","")))</f>
        <v>1x25 1x20 1x2.5 1x1.25</v>
      </c>
      <c r="H16" s="28" t="s">
        <v>35</v>
      </c>
      <c r="I16" s="28" t="s">
        <v>40</v>
      </c>
      <c r="J16" s="4"/>
      <c r="K16" s="32"/>
    </row>
    <row r="17" customFormat="false" ht="15" hidden="false" customHeight="false" outlineLevel="0" collapsed="false">
      <c r="A17" s="33" t="n">
        <v>8</v>
      </c>
      <c r="B17" s="34" t="s">
        <v>34</v>
      </c>
      <c r="C17" s="15" t="n">
        <v>0.725</v>
      </c>
      <c r="D17" s="33" t="n">
        <v>6</v>
      </c>
      <c r="E17" s="35" t="n">
        <f aca="false">ROUND(設定!$B$4*C17/設定!$B$6,0)*設定!$B$6</f>
        <v>110</v>
      </c>
      <c r="F17" s="36" t="n">
        <f aca="false">MAX(0,(E17-設定!$B$5)/2)</f>
        <v>45</v>
      </c>
      <c r="G17" s="17" t="str">
        <f aca="false">IF(N(F17)&lt;=0,"",TRIM(IF(INT(F17/25)&gt;0,INT(F17/25)&amp;"x25 ","")&amp;IF(INT(MOD(F17,25)/20)&gt;0,INT(MOD(F17,25)/20)&amp;"x20 ","")&amp;IF(INT(MOD(MOD(F17,25),20)/15)&gt;0,INT(MOD(MOD(F17,25),20)/15)&amp;"x15 ","")&amp;IF(INT(MOD(MOD(MOD(F17,25),20),15)/10)&gt;0,INT(MOD(MOD(MOD(F17,25),20),15)/10)&amp;"x10 ","")&amp;IF(INT(MOD(MOD(MOD(MOD(F17,25),20),15),10)/5)&gt;0,INT(MOD(MOD(MOD(MOD(F17,25),20),15),10)/5)&amp;"x5 ","")&amp;IF(INT(MOD(MOD(MOD(MOD(MOD(F17,25),20),15),10),5)/2.5)&gt;0,INT(MOD(MOD(MOD(MOD(MOD(F17,25),20),15),10),5)/2.5)&amp;"x2.5 ","")&amp;IF(INT(MOD(MOD(MOD(MOD(MOD(MOD(F17,25),20),15),10),5),2.5)/1.25)&gt;0,INT(MOD(MOD(MOD(MOD(MOD(MOD(F17,25),20),15),10),5),2.5)/1.25)&amp;"x1.25 ","")))</f>
        <v>1x25 1x20</v>
      </c>
      <c r="H17" s="33" t="s">
        <v>30</v>
      </c>
      <c r="I17" s="33" t="s">
        <v>41</v>
      </c>
      <c r="J17" s="4"/>
      <c r="K17" s="32"/>
    </row>
    <row r="19" customFormat="false" ht="15" hidden="false" customHeight="false" outlineLevel="0" collapsed="false">
      <c r="A19" s="37" t="s">
        <v>42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 customFormat="false" ht="15" hidden="false" customHeight="false" outlineLevel="0" collapsed="false">
      <c r="A20" s="38" t="s">
        <v>43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customFormat="false" ht="15" hidden="false" customHeight="false" outlineLevel="0" collapsed="false">
      <c r="A21" s="38" t="s">
        <v>44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customFormat="false" ht="15" hidden="false" customHeight="false" outlineLevel="0" collapsed="false">
      <c r="A22" s="38" t="s">
        <v>45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</row>
  </sheetData>
  <mergeCells count="6">
    <mergeCell ref="A1:K1"/>
    <mergeCell ref="A2:K2"/>
    <mergeCell ref="A19:K19"/>
    <mergeCell ref="A20:K20"/>
    <mergeCell ref="A21:K21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6" min="5" style="0" width="10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22"/>
  </cols>
  <sheetData>
    <row r="1" customFormat="false" ht="23.85" hidden="false" customHeight="fals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8" t="s">
        <v>52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15" hidden="false" customHeight="false" outlineLevel="0" collapsed="false">
      <c r="A3" s="19" t="s">
        <v>17</v>
      </c>
      <c r="B3" s="20" t="n">
        <f aca="false">設定!$B$4</f>
        <v>150</v>
      </c>
      <c r="C3" s="21" t="s">
        <v>18</v>
      </c>
    </row>
    <row r="5" customFormat="false" ht="17.15" hidden="false" customHeight="false" outlineLevel="0" collapsed="false">
      <c r="A5" s="10" t="s">
        <v>19</v>
      </c>
      <c r="B5" s="11" t="s">
        <v>20</v>
      </c>
      <c r="C5" s="10" t="s">
        <v>11</v>
      </c>
      <c r="D5" s="11" t="s">
        <v>21</v>
      </c>
      <c r="E5" s="11" t="s">
        <v>22</v>
      </c>
      <c r="F5" s="11" t="s">
        <v>23</v>
      </c>
      <c r="G5" s="11" t="s">
        <v>14</v>
      </c>
      <c r="H5" s="11" t="s">
        <v>24</v>
      </c>
      <c r="I5" s="11" t="s">
        <v>25</v>
      </c>
      <c r="J5" s="11" t="s">
        <v>26</v>
      </c>
      <c r="K5" s="11" t="s">
        <v>27</v>
      </c>
    </row>
    <row r="6" customFormat="false" ht="17.15" hidden="false" customHeight="false" outlineLevel="0" collapsed="false">
      <c r="A6" s="22" t="s">
        <v>28</v>
      </c>
      <c r="B6" s="22" t="s">
        <v>29</v>
      </c>
      <c r="C6" s="23" t="s">
        <v>30</v>
      </c>
      <c r="D6" s="24" t="n">
        <v>10</v>
      </c>
      <c r="E6" s="25" t="n">
        <f aca="false">設定!$B$5</f>
        <v>20</v>
      </c>
      <c r="F6" s="25" t="n">
        <f aca="false">MAX(0,(E6-設定!$B$5)/2)</f>
        <v>0</v>
      </c>
      <c r="G6" s="26" t="str">
        <f aca="false">IF(N(F6)&lt;=0,"",TRIM(IF(INT(F6/25)&gt;0,INT(F6/25)&amp;"x25 ","")&amp;IF(INT(MOD(F6,25)/20)&gt;0,INT(MOD(F6,25)/20)&amp;"x20 ","")&amp;IF(INT(MOD(MOD(F6,25),20)/15)&gt;0,INT(MOD(MOD(F6,25),20)/15)&amp;"x15 ","")&amp;IF(INT(MOD(MOD(MOD(F6,25),20),15)/10)&gt;0,INT(MOD(MOD(MOD(F6,25),20),15)/10)&amp;"x10 ","")&amp;IF(INT(MOD(MOD(MOD(MOD(F6,25),20),15),10)/5)&gt;0,INT(MOD(MOD(MOD(MOD(F6,25),20),15),10)/5)&amp;"x5 ","")&amp;IF(INT(MOD(MOD(MOD(MOD(MOD(F6,25),20),15),10),5)/2.5)&gt;0,INT(MOD(MOD(MOD(MOD(MOD(F6,25),20),15),10),5)/2.5)&amp;"x2.5 ","")&amp;IF(INT(MOD(MOD(MOD(MOD(MOD(MOD(F6,25),20),15),10),5),2.5)/1.25)&gt;0,INT(MOD(MOD(MOD(MOD(MOD(MOD(F6,25),20),15),10),5),2.5)/1.25)&amp;"x1.25 ","")))</f>
        <v/>
      </c>
      <c r="H6" s="24" t="s">
        <v>31</v>
      </c>
      <c r="I6" s="24" t="s">
        <v>30</v>
      </c>
      <c r="J6" s="24"/>
      <c r="K6" s="26"/>
    </row>
    <row r="7" customFormat="false" ht="17.15" hidden="false" customHeight="false" outlineLevel="0" collapsed="false">
      <c r="A7" s="22" t="s">
        <v>28</v>
      </c>
      <c r="B7" s="22" t="s">
        <v>29</v>
      </c>
      <c r="C7" s="27" t="n">
        <v>0.4</v>
      </c>
      <c r="D7" s="24" t="n">
        <v>5</v>
      </c>
      <c r="E7" s="25" t="n">
        <f aca="false">ROUND(設定!$B$4*C7/設定!$B$6,0)*設定!$B$6</f>
        <v>60</v>
      </c>
      <c r="F7" s="25" t="n">
        <f aca="false">MAX(0,(E7-設定!$B$5)/2)</f>
        <v>20</v>
      </c>
      <c r="G7" s="26" t="str">
        <f aca="false">IF(N(F7)&lt;=0,"",TRIM(IF(INT(F7/25)&gt;0,INT(F7/25)&amp;"x25 ","")&amp;IF(INT(MOD(F7,25)/20)&gt;0,INT(MOD(F7,25)/20)&amp;"x20 ","")&amp;IF(INT(MOD(MOD(F7,25),20)/15)&gt;0,INT(MOD(MOD(F7,25),20)/15)&amp;"x15 ","")&amp;IF(INT(MOD(MOD(MOD(F7,25),20),15)/10)&gt;0,INT(MOD(MOD(MOD(F7,25),20),15)/10)&amp;"x10 ","")&amp;IF(INT(MOD(MOD(MOD(MOD(F7,25),20),15),10)/5)&gt;0,INT(MOD(MOD(MOD(MOD(F7,25),20),15),10)/5)&amp;"x5 ","")&amp;IF(INT(MOD(MOD(MOD(MOD(MOD(F7,25),20),15),10),5)/2.5)&gt;0,INT(MOD(MOD(MOD(MOD(MOD(F7,25),20),15),10),5)/2.5)&amp;"x2.5 ","")&amp;IF(INT(MOD(MOD(MOD(MOD(MOD(MOD(F7,25),20),15),10),5),2.5)/1.25)&gt;0,INT(MOD(MOD(MOD(MOD(MOD(MOD(F7,25),20),15),10),5),2.5)/1.25)&amp;"x1.25 ","")))</f>
        <v>1x20</v>
      </c>
      <c r="H7" s="24" t="s">
        <v>31</v>
      </c>
      <c r="I7" s="24" t="s">
        <v>30</v>
      </c>
      <c r="J7" s="24"/>
      <c r="K7" s="26"/>
    </row>
    <row r="8" customFormat="false" ht="17.15" hidden="false" customHeight="false" outlineLevel="0" collapsed="false">
      <c r="A8" s="22" t="s">
        <v>28</v>
      </c>
      <c r="B8" s="22" t="s">
        <v>29</v>
      </c>
      <c r="C8" s="27" t="n">
        <v>0.55</v>
      </c>
      <c r="D8" s="24" t="n">
        <v>5</v>
      </c>
      <c r="E8" s="25" t="n">
        <f aca="false">ROUND(設定!$B$4*C8/設定!$B$6,0)*設定!$B$6</f>
        <v>82.5</v>
      </c>
      <c r="F8" s="25" t="n">
        <f aca="false">MAX(0,(E8-設定!$B$5)/2)</f>
        <v>31.25</v>
      </c>
      <c r="G8" s="26" t="str">
        <f aca="false">IF(N(F8)&lt;=0,"",TRIM(IF(INT(F8/25)&gt;0,INT(F8/25)&amp;"x25 ","")&amp;IF(INT(MOD(F8,25)/20)&gt;0,INT(MOD(F8,25)/20)&amp;"x20 ","")&amp;IF(INT(MOD(MOD(F8,25),20)/15)&gt;0,INT(MOD(MOD(F8,25),20)/15)&amp;"x15 ","")&amp;IF(INT(MOD(MOD(MOD(F8,25),20),15)/10)&gt;0,INT(MOD(MOD(MOD(F8,25),20),15)/10)&amp;"x10 ","")&amp;IF(INT(MOD(MOD(MOD(MOD(F8,25),20),15),10)/5)&gt;0,INT(MOD(MOD(MOD(MOD(F8,25),20),15),10)/5)&amp;"x5 ","")&amp;IF(INT(MOD(MOD(MOD(MOD(MOD(F8,25),20),15),10),5)/2.5)&gt;0,INT(MOD(MOD(MOD(MOD(MOD(F8,25),20),15),10),5)/2.5)&amp;"x2.5 ","")&amp;IF(INT(MOD(MOD(MOD(MOD(MOD(MOD(F8,25),20),15),10),5),2.5)/1.25)&gt;0,INT(MOD(MOD(MOD(MOD(MOD(MOD(F8,25),20),15),10),5),2.5)/1.25)&amp;"x1.25 ","")))</f>
        <v>1x25 1x5 1x1.25</v>
      </c>
      <c r="H8" s="24" t="s">
        <v>32</v>
      </c>
      <c r="I8" s="24" t="s">
        <v>30</v>
      </c>
      <c r="J8" s="24"/>
      <c r="K8" s="26"/>
    </row>
    <row r="9" customFormat="false" ht="17.15" hidden="false" customHeight="false" outlineLevel="0" collapsed="false">
      <c r="A9" s="28" t="n">
        <v>1</v>
      </c>
      <c r="B9" s="29" t="s">
        <v>34</v>
      </c>
      <c r="C9" s="12" t="n">
        <v>0.65</v>
      </c>
      <c r="D9" s="28" t="n">
        <v>8</v>
      </c>
      <c r="E9" s="30" t="n">
        <f aca="false">ROUND(設定!$B$4*C9/設定!$B$6,0)*設定!$B$6</f>
        <v>97.5</v>
      </c>
      <c r="F9" s="31" t="n">
        <f aca="false">MAX(0,(E9-設定!$B$5)/2)</f>
        <v>38.75</v>
      </c>
      <c r="G9" s="14" t="str">
        <f aca="false">IF(N(F9)&lt;=0,"",TRIM(IF(INT(F9/25)&gt;0,INT(F9/25)&amp;"x25 ","")&amp;IF(INT(MOD(F9,25)/20)&gt;0,INT(MOD(F9,25)/20)&amp;"x20 ","")&amp;IF(INT(MOD(MOD(F9,25),20)/15)&gt;0,INT(MOD(MOD(F9,25),20)/15)&amp;"x15 ","")&amp;IF(INT(MOD(MOD(MOD(F9,25),20),15)/10)&gt;0,INT(MOD(MOD(MOD(F9,25),20),15)/10)&amp;"x10 ","")&amp;IF(INT(MOD(MOD(MOD(MOD(F9,25),20),15),10)/5)&gt;0,INT(MOD(MOD(MOD(MOD(F9,25),20),15),10)/5)&amp;"x5 ","")&amp;IF(INT(MOD(MOD(MOD(MOD(MOD(F9,25),20),15),10),5)/2.5)&gt;0,INT(MOD(MOD(MOD(MOD(MOD(F9,25),20),15),10),5)/2.5)&amp;"x2.5 ","")&amp;IF(INT(MOD(MOD(MOD(MOD(MOD(MOD(F9,25),20),15),10),5),2.5)/1.25)&gt;0,INT(MOD(MOD(MOD(MOD(MOD(MOD(F9,25),20),15),10),5),2.5)/1.25)&amp;"x1.25 ","")))</f>
        <v>1x25 1x10 1x2.5 1x1.25</v>
      </c>
      <c r="H9" s="28" t="s">
        <v>48</v>
      </c>
      <c r="I9" s="28" t="s">
        <v>53</v>
      </c>
      <c r="J9" s="4"/>
      <c r="K9" s="32"/>
    </row>
    <row r="10" customFormat="false" ht="17.15" hidden="false" customHeight="false" outlineLevel="0" collapsed="false">
      <c r="A10" s="33" t="n">
        <v>2</v>
      </c>
      <c r="B10" s="34" t="s">
        <v>34</v>
      </c>
      <c r="C10" s="15" t="n">
        <v>0.7</v>
      </c>
      <c r="D10" s="33" t="n">
        <v>6</v>
      </c>
      <c r="E10" s="35" t="n">
        <f aca="false">ROUND(設定!$B$4*C10/設定!$B$6,0)*設定!$B$6</f>
        <v>105</v>
      </c>
      <c r="F10" s="36" t="n">
        <f aca="false">MAX(0,(E10-設定!$B$5)/2)</f>
        <v>42.5</v>
      </c>
      <c r="G10" s="17" t="str">
        <f aca="false">IF(N(F10)&lt;=0,"",TRIM(IF(INT(F10/25)&gt;0,INT(F10/25)&amp;"x25 ","")&amp;IF(INT(MOD(F10,25)/20)&gt;0,INT(MOD(F10,25)/20)&amp;"x20 ","")&amp;IF(INT(MOD(MOD(F10,25),20)/15)&gt;0,INT(MOD(MOD(F10,25),20)/15)&amp;"x15 ","")&amp;IF(INT(MOD(MOD(MOD(F10,25),20),15)/10)&gt;0,INT(MOD(MOD(MOD(F10,25),20),15)/10)&amp;"x10 ","")&amp;IF(INT(MOD(MOD(MOD(MOD(F10,25),20),15),10)/5)&gt;0,INT(MOD(MOD(MOD(MOD(F10,25),20),15),10)/5)&amp;"x5 ","")&amp;IF(INT(MOD(MOD(MOD(MOD(MOD(F10,25),20),15),10),5)/2.5)&gt;0,INT(MOD(MOD(MOD(MOD(MOD(F10,25),20),15),10),5)/2.5)&amp;"x2.5 ","")&amp;IF(INT(MOD(MOD(MOD(MOD(MOD(MOD(F10,25),20),15),10),5),2.5)/1.25)&gt;0,INT(MOD(MOD(MOD(MOD(MOD(MOD(F10,25),20),15),10),5),2.5)/1.25)&amp;"x1.25 ","")))</f>
        <v>1x25 1x15 1x2.5</v>
      </c>
      <c r="H10" s="33" t="s">
        <v>48</v>
      </c>
      <c r="I10" s="33" t="s">
        <v>49</v>
      </c>
      <c r="J10" s="4"/>
      <c r="K10" s="32"/>
    </row>
    <row r="11" customFormat="false" ht="17.15" hidden="false" customHeight="false" outlineLevel="0" collapsed="false">
      <c r="A11" s="28" t="n">
        <v>3</v>
      </c>
      <c r="B11" s="29" t="s">
        <v>34</v>
      </c>
      <c r="C11" s="12" t="n">
        <v>0.725</v>
      </c>
      <c r="D11" s="28" t="n">
        <v>6</v>
      </c>
      <c r="E11" s="30" t="n">
        <f aca="false">ROUND(設定!$B$4*C11/設定!$B$6,0)*設定!$B$6</f>
        <v>110</v>
      </c>
      <c r="F11" s="31" t="n">
        <f aca="false">MAX(0,(E11-設定!$B$5)/2)</f>
        <v>45</v>
      </c>
      <c r="G11" s="14" t="str">
        <f aca="false">IF(N(F11)&lt;=0,"",TRIM(IF(INT(F11/25)&gt;0,INT(F11/25)&amp;"x25 ","")&amp;IF(INT(MOD(F11,25)/20)&gt;0,INT(MOD(F11,25)/20)&amp;"x20 ","")&amp;IF(INT(MOD(MOD(F11,25),20)/15)&gt;0,INT(MOD(MOD(F11,25),20)/15)&amp;"x15 ","")&amp;IF(INT(MOD(MOD(MOD(F11,25),20),15)/10)&gt;0,INT(MOD(MOD(MOD(F11,25),20),15)/10)&amp;"x10 ","")&amp;IF(INT(MOD(MOD(MOD(MOD(F11,25),20),15),10)/5)&gt;0,INT(MOD(MOD(MOD(MOD(F11,25),20),15),10)/5)&amp;"x5 ","")&amp;IF(INT(MOD(MOD(MOD(MOD(MOD(F11,25),20),15),10),5)/2.5)&gt;0,INT(MOD(MOD(MOD(MOD(MOD(F11,25),20),15),10),5)/2.5)&amp;"x2.5 ","")&amp;IF(INT(MOD(MOD(MOD(MOD(MOD(MOD(F11,25),20),15),10),5),2.5)/1.25)&gt;0,INT(MOD(MOD(MOD(MOD(MOD(MOD(F11,25),20),15),10),5),2.5)/1.25)&amp;"x1.25 ","")))</f>
        <v>1x25 1x20</v>
      </c>
      <c r="H11" s="28" t="s">
        <v>35</v>
      </c>
      <c r="I11" s="28" t="s">
        <v>50</v>
      </c>
      <c r="J11" s="4"/>
      <c r="K11" s="32"/>
    </row>
    <row r="12" customFormat="false" ht="17.15" hidden="false" customHeight="false" outlineLevel="0" collapsed="false">
      <c r="A12" s="33" t="n">
        <v>4</v>
      </c>
      <c r="B12" s="34" t="s">
        <v>34</v>
      </c>
      <c r="C12" s="15" t="n">
        <v>0.75</v>
      </c>
      <c r="D12" s="33" t="n">
        <v>5</v>
      </c>
      <c r="E12" s="35" t="n">
        <f aca="false">ROUND(設定!$B$4*C12/設定!$B$6,0)*設定!$B$6</f>
        <v>112.5</v>
      </c>
      <c r="F12" s="36" t="n">
        <f aca="false">MAX(0,(E12-設定!$B$5)/2)</f>
        <v>46.25</v>
      </c>
      <c r="G12" s="17" t="str">
        <f aca="false">IF(N(F12)&lt;=0,"",TRIM(IF(INT(F12/25)&gt;0,INT(F12/25)&amp;"x25 ","")&amp;IF(INT(MOD(F12,25)/20)&gt;0,INT(MOD(F12,25)/20)&amp;"x20 ","")&amp;IF(INT(MOD(MOD(F12,25),20)/15)&gt;0,INT(MOD(MOD(F12,25),20)/15)&amp;"x15 ","")&amp;IF(INT(MOD(MOD(MOD(F12,25),20),15)/10)&gt;0,INT(MOD(MOD(MOD(F12,25),20),15)/10)&amp;"x10 ","")&amp;IF(INT(MOD(MOD(MOD(MOD(F12,25),20),15),10)/5)&gt;0,INT(MOD(MOD(MOD(MOD(F12,25),20),15),10)/5)&amp;"x5 ","")&amp;IF(INT(MOD(MOD(MOD(MOD(MOD(F12,25),20),15),10),5)/2.5)&gt;0,INT(MOD(MOD(MOD(MOD(MOD(F12,25),20),15),10),5)/2.5)&amp;"x2.5 ","")&amp;IF(INT(MOD(MOD(MOD(MOD(MOD(MOD(F12,25),20),15),10),5),2.5)/1.25)&gt;0,INT(MOD(MOD(MOD(MOD(MOD(MOD(F12,25),20),15),10),5),2.5)/1.25)&amp;"x1.25 ","")))</f>
        <v>1x25 1x20 1x1.25</v>
      </c>
      <c r="H12" s="33" t="s">
        <v>35</v>
      </c>
      <c r="I12" s="33" t="s">
        <v>36</v>
      </c>
      <c r="J12" s="4"/>
      <c r="K12" s="32"/>
    </row>
    <row r="13" customFormat="false" ht="17.15" hidden="false" customHeight="false" outlineLevel="0" collapsed="false">
      <c r="A13" s="28" t="n">
        <v>5</v>
      </c>
      <c r="B13" s="29" t="s">
        <v>34</v>
      </c>
      <c r="C13" s="12" t="n">
        <v>0.725</v>
      </c>
      <c r="D13" s="28" t="n">
        <v>6</v>
      </c>
      <c r="E13" s="30" t="n">
        <f aca="false">ROUND(設定!$B$4*C13/設定!$B$6,0)*設定!$B$6</f>
        <v>110</v>
      </c>
      <c r="F13" s="31" t="n">
        <f aca="false">MAX(0,(E13-設定!$B$5)/2)</f>
        <v>45</v>
      </c>
      <c r="G13" s="14" t="str">
        <f aca="false">IF(N(F13)&lt;=0,"",TRIM(IF(INT(F13/25)&gt;0,INT(F13/25)&amp;"x25 ","")&amp;IF(INT(MOD(F13,25)/20)&gt;0,INT(MOD(F13,25)/20)&amp;"x20 ","")&amp;IF(INT(MOD(MOD(F13,25),20)/15)&gt;0,INT(MOD(MOD(F13,25),20)/15)&amp;"x15 ","")&amp;IF(INT(MOD(MOD(MOD(F13,25),20),15)/10)&gt;0,INT(MOD(MOD(MOD(F13,25),20),15)/10)&amp;"x10 ","")&amp;IF(INT(MOD(MOD(MOD(MOD(F13,25),20),15),10)/5)&gt;0,INT(MOD(MOD(MOD(MOD(F13,25),20),15),10)/5)&amp;"x5 ","")&amp;IF(INT(MOD(MOD(MOD(MOD(MOD(F13,25),20),15),10),5)/2.5)&gt;0,INT(MOD(MOD(MOD(MOD(MOD(F13,25),20),15),10),5)/2.5)&amp;"x2.5 ","")&amp;IF(INT(MOD(MOD(MOD(MOD(MOD(MOD(F13,25),20),15),10),5),2.5)/1.25)&gt;0,INT(MOD(MOD(MOD(MOD(MOD(MOD(F13,25),20),15),10),5),2.5)/1.25)&amp;"x1.25 ","")))</f>
        <v>1x25 1x20</v>
      </c>
      <c r="H13" s="28" t="s">
        <v>35</v>
      </c>
      <c r="I13" s="28" t="s">
        <v>37</v>
      </c>
      <c r="J13" s="4"/>
      <c r="K13" s="32"/>
    </row>
    <row r="14" customFormat="false" ht="17.15" hidden="false" customHeight="false" outlineLevel="0" collapsed="false">
      <c r="A14" s="33" t="n">
        <v>6</v>
      </c>
      <c r="B14" s="34" t="s">
        <v>34</v>
      </c>
      <c r="C14" s="15" t="n">
        <v>0.7</v>
      </c>
      <c r="D14" s="33" t="n">
        <v>7</v>
      </c>
      <c r="E14" s="35" t="n">
        <f aca="false">ROUND(設定!$B$4*C14/設定!$B$6,0)*設定!$B$6</f>
        <v>105</v>
      </c>
      <c r="F14" s="36" t="n">
        <f aca="false">MAX(0,(E14-設定!$B$5)/2)</f>
        <v>42.5</v>
      </c>
      <c r="G14" s="17" t="str">
        <f aca="false">IF(N(F14)&lt;=0,"",TRIM(IF(INT(F14/25)&gt;0,INT(F14/25)&amp;"x25 ","")&amp;IF(INT(MOD(F14,25)/20)&gt;0,INT(MOD(F14,25)/20)&amp;"x20 ","")&amp;IF(INT(MOD(MOD(F14,25),20)/15)&gt;0,INT(MOD(MOD(F14,25),20)/15)&amp;"x15 ","")&amp;IF(INT(MOD(MOD(MOD(F14,25),20),15)/10)&gt;0,INT(MOD(MOD(MOD(F14,25),20),15)/10)&amp;"x10 ","")&amp;IF(INT(MOD(MOD(MOD(MOD(F14,25),20),15),10)/5)&gt;0,INT(MOD(MOD(MOD(MOD(F14,25),20),15),10)/5)&amp;"x5 ","")&amp;IF(INT(MOD(MOD(MOD(MOD(MOD(F14,25),20),15),10),5)/2.5)&gt;0,INT(MOD(MOD(MOD(MOD(MOD(F14,25),20),15),10),5)/2.5)&amp;"x2.5 ","")&amp;IF(INT(MOD(MOD(MOD(MOD(MOD(MOD(F14,25),20),15),10),5),2.5)/1.25)&gt;0,INT(MOD(MOD(MOD(MOD(MOD(MOD(F14,25),20),15),10),5),2.5)/1.25)&amp;"x1.25 ","")))</f>
        <v>1x25 1x15 1x2.5</v>
      </c>
      <c r="H14" s="33" t="s">
        <v>35</v>
      </c>
      <c r="I14" s="33" t="s">
        <v>39</v>
      </c>
      <c r="J14" s="4"/>
      <c r="K14" s="32"/>
    </row>
    <row r="15" customFormat="false" ht="17.15" hidden="false" customHeight="false" outlineLevel="0" collapsed="false">
      <c r="A15" s="28" t="n">
        <v>7</v>
      </c>
      <c r="B15" s="29" t="s">
        <v>34</v>
      </c>
      <c r="C15" s="12" t="n">
        <v>0.675</v>
      </c>
      <c r="D15" s="28" t="n">
        <v>8</v>
      </c>
      <c r="E15" s="30" t="n">
        <f aca="false">ROUND(設定!$B$4*C15/設定!$B$6,0)*設定!$B$6</f>
        <v>102.5</v>
      </c>
      <c r="F15" s="31" t="n">
        <f aca="false">MAX(0,(E15-設定!$B$5)/2)</f>
        <v>41.25</v>
      </c>
      <c r="G15" s="14" t="str">
        <f aca="false">IF(N(F15)&lt;=0,"",TRIM(IF(INT(F15/25)&gt;0,INT(F15/25)&amp;"x25 ","")&amp;IF(INT(MOD(F15,25)/20)&gt;0,INT(MOD(F15,25)/20)&amp;"x20 ","")&amp;IF(INT(MOD(MOD(F15,25),20)/15)&gt;0,INT(MOD(MOD(F15,25),20)/15)&amp;"x15 ","")&amp;IF(INT(MOD(MOD(MOD(F15,25),20),15)/10)&gt;0,INT(MOD(MOD(MOD(F15,25),20),15)/10)&amp;"x10 ","")&amp;IF(INT(MOD(MOD(MOD(MOD(F15,25),20),15),10)/5)&gt;0,INT(MOD(MOD(MOD(MOD(F15,25),20),15),10)/5)&amp;"x5 ","")&amp;IF(INT(MOD(MOD(MOD(MOD(MOD(F15,25),20),15),10),5)/2.5)&gt;0,INT(MOD(MOD(MOD(MOD(MOD(F15,25),20),15),10),5)/2.5)&amp;"x2.5 ","")&amp;IF(INT(MOD(MOD(MOD(MOD(MOD(MOD(F15,25),20),15),10),5),2.5)/1.25)&gt;0,INT(MOD(MOD(MOD(MOD(MOD(MOD(F15,25),20),15),10),5),2.5)/1.25)&amp;"x1.25 ","")))</f>
        <v>1x25 1x15 1x1.25</v>
      </c>
      <c r="H15" s="28" t="s">
        <v>35</v>
      </c>
      <c r="I15" s="28" t="s">
        <v>40</v>
      </c>
      <c r="J15" s="4"/>
      <c r="K15" s="32"/>
    </row>
    <row r="16" customFormat="false" ht="15" hidden="false" customHeight="false" outlineLevel="0" collapsed="false">
      <c r="A16" s="33" t="n">
        <v>8</v>
      </c>
      <c r="B16" s="34" t="s">
        <v>34</v>
      </c>
      <c r="C16" s="15" t="n">
        <v>0.65</v>
      </c>
      <c r="D16" s="33" t="n">
        <v>8</v>
      </c>
      <c r="E16" s="35" t="n">
        <f aca="false">ROUND(設定!$B$4*C16/設定!$B$6,0)*設定!$B$6</f>
        <v>97.5</v>
      </c>
      <c r="F16" s="36" t="n">
        <f aca="false">MAX(0,(E16-設定!$B$5)/2)</f>
        <v>38.75</v>
      </c>
      <c r="G16" s="17" t="str">
        <f aca="false">IF(N(F16)&lt;=0,"",TRIM(IF(INT(F16/25)&gt;0,INT(F16/25)&amp;"x25 ","")&amp;IF(INT(MOD(F16,25)/20)&gt;0,INT(MOD(F16,25)/20)&amp;"x20 ","")&amp;IF(INT(MOD(MOD(F16,25),20)/15)&gt;0,INT(MOD(MOD(F16,25),20)/15)&amp;"x15 ","")&amp;IF(INT(MOD(MOD(MOD(F16,25),20),15)/10)&gt;0,INT(MOD(MOD(MOD(F16,25),20),15)/10)&amp;"x10 ","")&amp;IF(INT(MOD(MOD(MOD(MOD(F16,25),20),15),10)/5)&gt;0,INT(MOD(MOD(MOD(MOD(F16,25),20),15),10)/5)&amp;"x5 ","")&amp;IF(INT(MOD(MOD(MOD(MOD(MOD(F16,25),20),15),10),5)/2.5)&gt;0,INT(MOD(MOD(MOD(MOD(MOD(F16,25),20),15),10),5)/2.5)&amp;"x2.5 ","")&amp;IF(INT(MOD(MOD(MOD(MOD(MOD(MOD(F16,25),20),15),10),5),2.5)/1.25)&gt;0,INT(MOD(MOD(MOD(MOD(MOD(MOD(F16,25),20),15),10),5),2.5)/1.25)&amp;"x1.25 ","")))</f>
        <v>1x25 1x10 1x2.5 1x1.25</v>
      </c>
      <c r="H16" s="33" t="s">
        <v>30</v>
      </c>
      <c r="I16" s="33" t="s">
        <v>41</v>
      </c>
      <c r="J16" s="4"/>
      <c r="K16" s="32"/>
    </row>
    <row r="18" customFormat="false" ht="15" hidden="false" customHeight="false" outlineLevel="0" collapsed="false">
      <c r="A18" s="37" t="s">
        <v>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 customFormat="false" ht="15" hidden="false" customHeight="false" outlineLevel="0" collapsed="false">
      <c r="A19" s="38" t="s">
        <v>43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</row>
    <row r="20" customFormat="false" ht="15" hidden="false" customHeight="false" outlineLevel="0" collapsed="false">
      <c r="A20" s="38" t="s">
        <v>44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customFormat="false" ht="15" hidden="false" customHeight="false" outlineLevel="0" collapsed="false">
      <c r="A21" s="38" t="s">
        <v>45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</row>
  </sheetData>
  <mergeCells count="6">
    <mergeCell ref="A1:K1"/>
    <mergeCell ref="A2:K2"/>
    <mergeCell ref="A18:K18"/>
    <mergeCell ref="A19:K19"/>
    <mergeCell ref="A20:K20"/>
    <mergeCell ref="A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8" t="s">
        <v>55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customFormat="false" ht="17.15" hidden="false" customHeight="false" outlineLevel="0" collapsed="false">
      <c r="A4" s="11" t="s">
        <v>56</v>
      </c>
      <c r="B4" s="11" t="s">
        <v>57</v>
      </c>
      <c r="C4" s="11" t="s">
        <v>58</v>
      </c>
      <c r="D4" s="11" t="s">
        <v>59</v>
      </c>
      <c r="E4" s="11" t="s">
        <v>60</v>
      </c>
      <c r="F4" s="11" t="s">
        <v>61</v>
      </c>
      <c r="G4" s="11" t="s">
        <v>62</v>
      </c>
      <c r="H4" s="11" t="s">
        <v>63</v>
      </c>
      <c r="I4" s="11" t="s">
        <v>64</v>
      </c>
      <c r="J4" s="11" t="s">
        <v>65</v>
      </c>
      <c r="K4" s="10" t="s">
        <v>66</v>
      </c>
      <c r="L4" s="11" t="s">
        <v>27</v>
      </c>
    </row>
    <row r="5" customFormat="false" ht="15" hidden="false" customHeight="false" outlineLevel="0" collapsed="false">
      <c r="A5" s="39" t="s">
        <v>67</v>
      </c>
      <c r="B5" s="39" t="s">
        <v>68</v>
      </c>
      <c r="C5" s="39" t="n">
        <v>7</v>
      </c>
      <c r="D5" s="39" t="n">
        <v>3</v>
      </c>
      <c r="E5" s="39" t="n">
        <v>78.5</v>
      </c>
      <c r="F5" s="40" t="s">
        <v>69</v>
      </c>
      <c r="G5" s="39" t="n">
        <v>4</v>
      </c>
      <c r="H5" s="39" t="n">
        <v>8</v>
      </c>
      <c r="I5" s="39" t="s">
        <v>70</v>
      </c>
      <c r="J5" s="39" t="s">
        <v>71</v>
      </c>
      <c r="K5" s="39" t="n">
        <v>1</v>
      </c>
      <c r="L5" s="41" t="s">
        <v>72</v>
      </c>
    </row>
    <row r="6" customFormat="false" ht="15" hidden="false" customHeight="false" outlineLevel="0" collapsed="false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3"/>
    </row>
    <row r="7" customFormat="false" ht="15" hidden="false" customHeight="false" outlineLevel="0" collapsed="false">
      <c r="A7" s="39"/>
      <c r="B7" s="39"/>
      <c r="C7" s="39"/>
      <c r="D7" s="39"/>
      <c r="E7" s="39"/>
      <c r="F7" s="40"/>
      <c r="G7" s="39"/>
      <c r="H7" s="39"/>
      <c r="I7" s="39"/>
      <c r="J7" s="39"/>
      <c r="K7" s="39"/>
      <c r="L7" s="41"/>
    </row>
    <row r="8" customFormat="false" ht="15" hidden="false" customHeight="fals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customFormat="false" ht="15" hidden="false" customHeight="false" outlineLevel="0" collapsed="false">
      <c r="A9" s="39"/>
      <c r="B9" s="39"/>
      <c r="C9" s="39"/>
      <c r="D9" s="39"/>
      <c r="E9" s="39"/>
      <c r="F9" s="40"/>
      <c r="G9" s="39"/>
      <c r="H9" s="39"/>
      <c r="I9" s="39"/>
      <c r="J9" s="39"/>
      <c r="K9" s="39"/>
      <c r="L9" s="41"/>
    </row>
    <row r="10" customFormat="false" ht="15" hidden="false" customHeight="fals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customFormat="false" ht="15" hidden="false" customHeight="false" outlineLevel="0" collapsed="false">
      <c r="A11" s="39"/>
      <c r="B11" s="39"/>
      <c r="C11" s="39"/>
      <c r="D11" s="39"/>
      <c r="E11" s="39"/>
      <c r="F11" s="40"/>
      <c r="G11" s="39"/>
      <c r="H11" s="39"/>
      <c r="I11" s="39"/>
      <c r="J11" s="39"/>
      <c r="K11" s="39"/>
      <c r="L11" s="41"/>
    </row>
    <row r="12" customFormat="false" ht="15" hidden="false" customHeight="fals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customFormat="false" ht="15" hidden="false" customHeight="false" outlineLevel="0" collapsed="false">
      <c r="A13" s="39"/>
      <c r="B13" s="39"/>
      <c r="C13" s="39"/>
      <c r="D13" s="39"/>
      <c r="E13" s="39"/>
      <c r="F13" s="40"/>
      <c r="G13" s="39"/>
      <c r="H13" s="39"/>
      <c r="I13" s="39"/>
      <c r="J13" s="39"/>
      <c r="K13" s="39"/>
      <c r="L13" s="41"/>
    </row>
    <row r="14" customFormat="false" ht="15" hidden="false" customHeight="fals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customFormat="false" ht="15" hidden="false" customHeight="false" outlineLevel="0" collapsed="false">
      <c r="A15" s="39"/>
      <c r="B15" s="39"/>
      <c r="C15" s="39"/>
      <c r="D15" s="39"/>
      <c r="E15" s="39"/>
      <c r="F15" s="40"/>
      <c r="G15" s="39"/>
      <c r="H15" s="39"/>
      <c r="I15" s="39"/>
      <c r="J15" s="39"/>
      <c r="K15" s="39"/>
      <c r="L15" s="41"/>
    </row>
    <row r="16" customFormat="false" ht="15" hidden="false" customHeight="fals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customFormat="false" ht="15" hidden="false" customHeight="false" outlineLevel="0" collapsed="false">
      <c r="A17" s="39"/>
      <c r="B17" s="39"/>
      <c r="C17" s="39"/>
      <c r="D17" s="39"/>
      <c r="E17" s="39"/>
      <c r="F17" s="40"/>
      <c r="G17" s="39"/>
      <c r="H17" s="39"/>
      <c r="I17" s="39"/>
      <c r="J17" s="39"/>
      <c r="K17" s="39"/>
      <c r="L17" s="41"/>
    </row>
    <row r="18" customFormat="false" ht="15" hidden="false" customHeight="fals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customFormat="false" ht="15" hidden="false" customHeight="false" outlineLevel="0" collapsed="false">
      <c r="A19" s="39"/>
      <c r="B19" s="39"/>
      <c r="C19" s="39"/>
      <c r="D19" s="39"/>
      <c r="E19" s="39"/>
      <c r="F19" s="40"/>
      <c r="G19" s="39"/>
      <c r="H19" s="39"/>
      <c r="I19" s="39"/>
      <c r="J19" s="39"/>
      <c r="K19" s="39"/>
      <c r="L19" s="41"/>
    </row>
    <row r="20" customFormat="false" ht="15" hidden="false" customHeight="fals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customFormat="false" ht="15" hidden="false" customHeight="false" outlineLevel="0" collapsed="false">
      <c r="A21" s="39"/>
      <c r="B21" s="39"/>
      <c r="C21" s="39"/>
      <c r="D21" s="39"/>
      <c r="E21" s="39"/>
      <c r="F21" s="40"/>
      <c r="G21" s="39"/>
      <c r="H21" s="39"/>
      <c r="I21" s="39"/>
      <c r="J21" s="39"/>
      <c r="K21" s="39"/>
      <c r="L21" s="41"/>
    </row>
    <row r="22" customFormat="false" ht="15" hidden="false" customHeight="fals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customFormat="false" ht="15" hidden="false" customHeight="false" outlineLevel="0" collapsed="false">
      <c r="A23" s="39"/>
      <c r="B23" s="39"/>
      <c r="C23" s="39"/>
      <c r="D23" s="39"/>
      <c r="E23" s="39"/>
      <c r="F23" s="40"/>
      <c r="G23" s="39"/>
      <c r="H23" s="39"/>
      <c r="I23" s="39"/>
      <c r="J23" s="39"/>
      <c r="K23" s="39"/>
      <c r="L23" s="41"/>
    </row>
    <row r="24" customFormat="false" ht="15" hidden="false" customHeight="fals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customFormat="false" ht="15" hidden="false" customHeight="false" outlineLevel="0" collapsed="false">
      <c r="A25" s="39"/>
      <c r="B25" s="39"/>
      <c r="C25" s="39"/>
      <c r="D25" s="39"/>
      <c r="E25" s="39"/>
      <c r="F25" s="40"/>
      <c r="G25" s="39"/>
      <c r="H25" s="39"/>
      <c r="I25" s="39"/>
      <c r="J25" s="39"/>
      <c r="K25" s="39"/>
      <c r="L25" s="41"/>
    </row>
    <row r="26" customFormat="false" ht="15" hidden="false" customHeight="fals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customFormat="false" ht="15" hidden="false" customHeight="false" outlineLevel="0" collapsed="false">
      <c r="A27" s="39"/>
      <c r="B27" s="39"/>
      <c r="C27" s="39"/>
      <c r="D27" s="39"/>
      <c r="E27" s="39"/>
      <c r="F27" s="40"/>
      <c r="G27" s="39"/>
      <c r="H27" s="39"/>
      <c r="I27" s="39"/>
      <c r="J27" s="39"/>
      <c r="K27" s="39"/>
      <c r="L27" s="41"/>
    </row>
    <row r="28" customFormat="false" ht="15" hidden="false" customHeight="fals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customFormat="false" ht="15" hidden="false" customHeight="false" outlineLevel="0" collapsed="false">
      <c r="A29" s="39"/>
      <c r="B29" s="39"/>
      <c r="C29" s="39"/>
      <c r="D29" s="39"/>
      <c r="E29" s="39"/>
      <c r="F29" s="40"/>
      <c r="G29" s="39"/>
      <c r="H29" s="39"/>
      <c r="I29" s="39"/>
      <c r="J29" s="39"/>
      <c r="K29" s="39"/>
      <c r="L29" s="41"/>
    </row>
    <row r="30" customFormat="false" ht="15" hidden="false" customHeight="fals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3"/>
    </row>
    <row r="31" customFormat="false" ht="15" hidden="false" customHeight="false" outlineLevel="0" collapsed="false">
      <c r="A31" s="39"/>
      <c r="B31" s="39"/>
      <c r="C31" s="39"/>
      <c r="D31" s="39"/>
      <c r="E31" s="39"/>
      <c r="F31" s="40"/>
      <c r="G31" s="39"/>
      <c r="H31" s="39"/>
      <c r="I31" s="39"/>
      <c r="J31" s="39"/>
      <c r="K31" s="39"/>
      <c r="L31" s="41"/>
    </row>
    <row r="32" customFormat="false" ht="15" hidden="false" customHeight="fals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3"/>
    </row>
    <row r="33" customFormat="false" ht="15" hidden="false" customHeight="false" outlineLevel="0" collapsed="false">
      <c r="A33" s="39"/>
      <c r="B33" s="39"/>
      <c r="C33" s="39"/>
      <c r="D33" s="39"/>
      <c r="E33" s="39"/>
      <c r="F33" s="40"/>
      <c r="G33" s="39"/>
      <c r="H33" s="39"/>
      <c r="I33" s="39"/>
      <c r="J33" s="39"/>
      <c r="K33" s="39"/>
      <c r="L33" s="41"/>
    </row>
    <row r="34" customFormat="false" ht="15" hidden="false" customHeight="fals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customFormat="false" ht="15" hidden="false" customHeight="false" outlineLevel="0" collapsed="false">
      <c r="A35" s="39"/>
      <c r="B35" s="39"/>
      <c r="C35" s="39"/>
      <c r="D35" s="39"/>
      <c r="E35" s="39"/>
      <c r="F35" s="40"/>
      <c r="G35" s="39"/>
      <c r="H35" s="39"/>
      <c r="I35" s="39"/>
      <c r="J35" s="39"/>
      <c r="K35" s="39"/>
      <c r="L35" s="41"/>
    </row>
    <row r="36" customFormat="false" ht="15" hidden="false" customHeight="fals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3"/>
    </row>
    <row r="37" customFormat="false" ht="15" hidden="false" customHeight="false" outlineLevel="0" collapsed="false">
      <c r="A37" s="39"/>
      <c r="B37" s="39"/>
      <c r="C37" s="39"/>
      <c r="D37" s="39"/>
      <c r="E37" s="39"/>
      <c r="F37" s="40"/>
      <c r="G37" s="39"/>
      <c r="H37" s="39"/>
      <c r="I37" s="39"/>
      <c r="J37" s="39"/>
      <c r="K37" s="39"/>
      <c r="L37" s="41"/>
    </row>
    <row r="38" customFormat="false" ht="15" hidden="false" customHeight="fals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3"/>
    </row>
    <row r="39" customFormat="false" ht="15" hidden="false" customHeight="false" outlineLevel="0" collapsed="false">
      <c r="A39" s="39"/>
      <c r="B39" s="39"/>
      <c r="C39" s="39"/>
      <c r="D39" s="39"/>
      <c r="E39" s="39"/>
      <c r="F39" s="40"/>
      <c r="G39" s="39"/>
      <c r="H39" s="39"/>
      <c r="I39" s="39"/>
      <c r="J39" s="39"/>
      <c r="K39" s="39"/>
      <c r="L39" s="41"/>
    </row>
    <row r="40" customFormat="false" ht="15" hidden="false" customHeight="fals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3"/>
    </row>
    <row r="41" customFormat="false" ht="15" hidden="false" customHeight="false" outlineLevel="0" collapsed="false">
      <c r="A41" s="39"/>
      <c r="B41" s="39"/>
      <c r="C41" s="39"/>
      <c r="D41" s="39"/>
      <c r="E41" s="39"/>
      <c r="F41" s="40"/>
      <c r="G41" s="39"/>
      <c r="H41" s="39"/>
      <c r="I41" s="39"/>
      <c r="J41" s="39"/>
      <c r="K41" s="39"/>
      <c r="L41" s="41"/>
    </row>
    <row r="42" customFormat="false" ht="15" hidden="false" customHeight="fals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3"/>
    </row>
    <row r="43" customFormat="false" ht="15" hidden="false" customHeight="false" outlineLevel="0" collapsed="false">
      <c r="A43" s="39"/>
      <c r="B43" s="39"/>
      <c r="C43" s="39"/>
      <c r="D43" s="39"/>
      <c r="E43" s="39"/>
      <c r="F43" s="40"/>
      <c r="G43" s="39"/>
      <c r="H43" s="39"/>
      <c r="I43" s="39"/>
      <c r="J43" s="39"/>
      <c r="K43" s="39"/>
      <c r="L43" s="41"/>
    </row>
    <row r="44" customFormat="false" ht="15" hidden="false" customHeight="fals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3"/>
    </row>
    <row r="45" customFormat="false" ht="15" hidden="false" customHeight="false" outlineLevel="0" collapsed="false">
      <c r="A45" s="39"/>
      <c r="B45" s="39"/>
      <c r="C45" s="39"/>
      <c r="D45" s="39"/>
      <c r="E45" s="39"/>
      <c r="F45" s="40"/>
      <c r="G45" s="39"/>
      <c r="H45" s="39"/>
      <c r="I45" s="39"/>
      <c r="J45" s="39"/>
      <c r="K45" s="39"/>
      <c r="L45" s="41"/>
    </row>
    <row r="46" customFormat="false" ht="15" hidden="false" customHeight="fals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3"/>
    </row>
    <row r="47" customFormat="false" ht="15" hidden="false" customHeight="false" outlineLevel="0" collapsed="false">
      <c r="A47" s="39"/>
      <c r="B47" s="39"/>
      <c r="C47" s="39"/>
      <c r="D47" s="39"/>
      <c r="E47" s="39"/>
      <c r="F47" s="40"/>
      <c r="G47" s="39"/>
      <c r="H47" s="39"/>
      <c r="I47" s="39"/>
      <c r="J47" s="39"/>
      <c r="K47" s="39"/>
      <c r="L47" s="41"/>
    </row>
    <row r="48" customFormat="false" ht="15" hidden="false" customHeight="fals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3"/>
    </row>
    <row r="49" customFormat="false" ht="15" hidden="false" customHeight="false" outlineLevel="0" collapsed="false">
      <c r="A49" s="39"/>
      <c r="B49" s="39"/>
      <c r="C49" s="39"/>
      <c r="D49" s="39"/>
      <c r="E49" s="39"/>
      <c r="F49" s="40"/>
      <c r="G49" s="39"/>
      <c r="H49" s="39"/>
      <c r="I49" s="39"/>
      <c r="J49" s="39"/>
      <c r="K49" s="39"/>
      <c r="L49" s="41"/>
    </row>
    <row r="50" customFormat="false" ht="15" hidden="false" customHeight="fals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3"/>
    </row>
    <row r="51" customFormat="false" ht="15" hidden="false" customHeight="false" outlineLevel="0" collapsed="false">
      <c r="A51" s="39"/>
      <c r="B51" s="39"/>
      <c r="C51" s="39"/>
      <c r="D51" s="39"/>
      <c r="E51" s="39"/>
      <c r="F51" s="40"/>
      <c r="G51" s="39"/>
      <c r="H51" s="39"/>
      <c r="I51" s="39"/>
      <c r="J51" s="39"/>
      <c r="K51" s="39"/>
      <c r="L51" s="41"/>
    </row>
    <row r="52" customFormat="false" ht="15" hidden="false" customHeight="fals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3"/>
    </row>
    <row r="53" customFormat="false" ht="15" hidden="false" customHeight="false" outlineLevel="0" collapsed="false">
      <c r="A53" s="39"/>
      <c r="B53" s="39"/>
      <c r="C53" s="39"/>
      <c r="D53" s="39"/>
      <c r="E53" s="39"/>
      <c r="F53" s="40"/>
      <c r="G53" s="39"/>
      <c r="H53" s="39"/>
      <c r="I53" s="39"/>
      <c r="J53" s="39"/>
      <c r="K53" s="39"/>
      <c r="L53" s="41"/>
    </row>
    <row r="54" customFormat="false" ht="15" hidden="false" customHeight="fals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/>
    </row>
    <row r="55" customFormat="false" ht="15" hidden="false" customHeight="false" outlineLevel="0" collapsed="false">
      <c r="A55" s="39"/>
      <c r="B55" s="39"/>
      <c r="C55" s="39"/>
      <c r="D55" s="39"/>
      <c r="E55" s="39"/>
      <c r="F55" s="40"/>
      <c r="G55" s="39"/>
      <c r="H55" s="39"/>
      <c r="I55" s="39"/>
      <c r="J55" s="39"/>
      <c r="K55" s="39"/>
      <c r="L55" s="41"/>
    </row>
    <row r="56" customFormat="false" ht="15" hidden="false" customHeight="fals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3"/>
    </row>
    <row r="57" customFormat="false" ht="15" hidden="false" customHeight="false" outlineLevel="0" collapsed="false">
      <c r="A57" s="39"/>
      <c r="B57" s="39"/>
      <c r="C57" s="39"/>
      <c r="D57" s="39"/>
      <c r="E57" s="39"/>
      <c r="F57" s="40"/>
      <c r="G57" s="39"/>
      <c r="H57" s="39"/>
      <c r="I57" s="39"/>
      <c r="J57" s="39"/>
      <c r="K57" s="39"/>
      <c r="L57" s="41"/>
    </row>
    <row r="58" customFormat="false" ht="15" hidden="false" customHeight="fals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3"/>
    </row>
    <row r="59" customFormat="false" ht="15" hidden="false" customHeight="false" outlineLevel="0" collapsed="false">
      <c r="A59" s="39"/>
      <c r="B59" s="39"/>
      <c r="C59" s="39"/>
      <c r="D59" s="39"/>
      <c r="E59" s="39"/>
      <c r="F59" s="40"/>
      <c r="G59" s="39"/>
      <c r="H59" s="39"/>
      <c r="I59" s="39"/>
      <c r="J59" s="39"/>
      <c r="K59" s="39"/>
      <c r="L59" s="41"/>
    </row>
    <row r="60" customFormat="false" ht="15" hidden="false" customHeight="fals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3"/>
    </row>
    <row r="61" customFormat="false" ht="15" hidden="false" customHeight="false" outlineLevel="0" collapsed="false">
      <c r="A61" s="39"/>
      <c r="B61" s="39"/>
      <c r="C61" s="39"/>
      <c r="D61" s="39"/>
      <c r="E61" s="39"/>
      <c r="F61" s="40"/>
      <c r="G61" s="39"/>
      <c r="H61" s="39"/>
      <c r="I61" s="39"/>
      <c r="J61" s="39"/>
      <c r="K61" s="39"/>
      <c r="L61" s="41"/>
    </row>
    <row r="62" customFormat="false" ht="15" hidden="false" customHeight="fals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3"/>
    </row>
    <row r="63" customFormat="false" ht="15" hidden="false" customHeight="false" outlineLevel="0" collapsed="false">
      <c r="A63" s="39"/>
      <c r="B63" s="39"/>
      <c r="C63" s="39"/>
      <c r="D63" s="39"/>
      <c r="E63" s="39"/>
      <c r="F63" s="40"/>
      <c r="G63" s="39"/>
      <c r="H63" s="39"/>
      <c r="I63" s="39"/>
      <c r="J63" s="39"/>
      <c r="K63" s="39"/>
      <c r="L63" s="41"/>
    </row>
    <row r="64" customFormat="false" ht="15" hidden="false" customHeight="fals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3"/>
    </row>
    <row r="65" customFormat="false" ht="15" hidden="false" customHeight="false" outlineLevel="0" collapsed="false">
      <c r="A65" s="39"/>
      <c r="B65" s="39"/>
      <c r="C65" s="39"/>
      <c r="D65" s="39"/>
      <c r="E65" s="39"/>
      <c r="F65" s="40"/>
      <c r="G65" s="39"/>
      <c r="H65" s="39"/>
      <c r="I65" s="39"/>
      <c r="J65" s="39"/>
      <c r="K65" s="39"/>
      <c r="L65" s="41"/>
    </row>
  </sheetData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B5:B65" type="list">
      <formula1>"A,B,C,その他"</formula1>
      <formula2>0</formula2>
    </dataValidation>
    <dataValidation allowBlank="true" errorStyle="stop" operator="between" showDropDown="false" showErrorMessage="false" showInputMessage="false" sqref="F5:F65" type="list">
      <formula1>"なし,あり"</formula1>
      <formula2>0</formula2>
    </dataValidation>
    <dataValidation allowBlank="true" errorStyle="stop" operator="between" showDropDown="false" showErrorMessage="false" showInputMessage="false" sqref="G5:G6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3.85" hidden="false" customHeight="false" outlineLevel="0" collapsed="false">
      <c r="A1" s="44" t="s">
        <v>73</v>
      </c>
    </row>
    <row r="2" customFormat="false" ht="15" hidden="false" customHeight="false" outlineLevel="0" collapsed="false">
      <c r="A2" s="45"/>
    </row>
    <row r="3" customFormat="false" ht="19.4" hidden="false" customHeight="false" outlineLevel="0" collapsed="false">
      <c r="A3" s="46" t="s">
        <v>74</v>
      </c>
    </row>
    <row r="4" customFormat="false" ht="17.15" hidden="false" customHeight="false" outlineLevel="0" collapsed="false">
      <c r="A4" s="47" t="s">
        <v>75</v>
      </c>
    </row>
    <row r="5" customFormat="false" ht="17.15" hidden="false" customHeight="false" outlineLevel="0" collapsed="false">
      <c r="A5" s="47" t="s">
        <v>76</v>
      </c>
    </row>
    <row r="6" customFormat="false" ht="17.15" hidden="false" customHeight="false" outlineLevel="0" collapsed="false">
      <c r="A6" s="47" t="s">
        <v>77</v>
      </c>
    </row>
    <row r="7" customFormat="false" ht="15" hidden="false" customHeight="false" outlineLevel="0" collapsed="false">
      <c r="A7" s="45"/>
    </row>
    <row r="8" customFormat="false" ht="19.4" hidden="false" customHeight="false" outlineLevel="0" collapsed="false">
      <c r="A8" s="46" t="s">
        <v>78</v>
      </c>
    </row>
    <row r="9" customFormat="false" ht="17.15" hidden="false" customHeight="false" outlineLevel="0" collapsed="false">
      <c r="A9" s="45" t="s">
        <v>79</v>
      </c>
    </row>
    <row r="10" customFormat="false" ht="17.15" hidden="false" customHeight="false" outlineLevel="0" collapsed="false">
      <c r="A10" s="45" t="s">
        <v>80</v>
      </c>
    </row>
    <row r="11" customFormat="false" ht="17.15" hidden="false" customHeight="false" outlineLevel="0" collapsed="false">
      <c r="A11" s="45" t="s">
        <v>81</v>
      </c>
    </row>
    <row r="12" customFormat="false" ht="15" hidden="false" customHeight="false" outlineLevel="0" collapsed="false">
      <c r="A12" s="45"/>
    </row>
    <row r="13" customFormat="false" ht="17.15" hidden="false" customHeight="false" outlineLevel="0" collapsed="false">
      <c r="A13" s="47" t="s">
        <v>82</v>
      </c>
    </row>
    <row r="14" customFormat="false" ht="17.15" hidden="false" customHeight="false" outlineLevel="0" collapsed="false">
      <c r="A14" s="47" t="s">
        <v>83</v>
      </c>
    </row>
    <row r="15" customFormat="false" ht="15" hidden="false" customHeight="false" outlineLevel="0" collapsed="false">
      <c r="A15" s="45"/>
    </row>
    <row r="16" customFormat="false" ht="19.4" hidden="false" customHeight="false" outlineLevel="0" collapsed="false">
      <c r="A16" s="46" t="s">
        <v>84</v>
      </c>
    </row>
    <row r="17" customFormat="false" ht="17.15" hidden="false" customHeight="false" outlineLevel="0" collapsed="false">
      <c r="A17" s="47" t="s">
        <v>85</v>
      </c>
    </row>
    <row r="18" customFormat="false" ht="17.15" hidden="false" customHeight="false" outlineLevel="0" collapsed="false">
      <c r="A18" s="47" t="s">
        <v>86</v>
      </c>
    </row>
    <row r="19" customFormat="false" ht="17.15" hidden="false" customHeight="false" outlineLevel="0" collapsed="false">
      <c r="A19" s="47" t="s">
        <v>87</v>
      </c>
    </row>
    <row r="20" customFormat="false" ht="15" hidden="false" customHeight="false" outlineLevel="0" collapsed="false">
      <c r="A20" s="45"/>
    </row>
    <row r="21" customFormat="false" ht="19.4" hidden="false" customHeight="false" outlineLevel="0" collapsed="false">
      <c r="A21" s="46" t="s">
        <v>88</v>
      </c>
    </row>
    <row r="22" customFormat="false" ht="17.15" hidden="false" customHeight="false" outlineLevel="0" collapsed="false">
      <c r="A22" s="47" t="s">
        <v>89</v>
      </c>
    </row>
    <row r="23" customFormat="false" ht="17.15" hidden="false" customHeight="false" outlineLevel="0" collapsed="false">
      <c r="A23" s="47" t="s">
        <v>90</v>
      </c>
    </row>
    <row r="24" customFormat="false" ht="17.15" hidden="false" customHeight="false" outlineLevel="0" collapsed="false">
      <c r="A24" s="47" t="s">
        <v>91</v>
      </c>
    </row>
    <row r="25" customFormat="false" ht="17.15" hidden="false" customHeight="false" outlineLevel="0" collapsed="false">
      <c r="A25" s="47" t="s">
        <v>92</v>
      </c>
    </row>
    <row r="26" customFormat="false" ht="17.15" hidden="false" customHeight="false" outlineLevel="0" collapsed="false">
      <c r="A26" s="47" t="s">
        <v>93</v>
      </c>
    </row>
    <row r="27" customFormat="false" ht="15" hidden="false" customHeight="false" outlineLevel="0" collapsed="false">
      <c r="A27" s="45"/>
    </row>
    <row r="28" customFormat="false" ht="19.4" hidden="false" customHeight="false" outlineLevel="0" collapsed="false">
      <c r="A28" s="46" t="s">
        <v>94</v>
      </c>
    </row>
    <row r="29" customFormat="false" ht="17.15" hidden="false" customHeight="false" outlineLevel="0" collapsed="false">
      <c r="A29" s="47" t="s">
        <v>95</v>
      </c>
    </row>
    <row r="30" customFormat="false" ht="17.15" hidden="false" customHeight="false" outlineLevel="0" collapsed="false">
      <c r="A30" s="47" t="s">
        <v>96</v>
      </c>
    </row>
    <row r="31" customFormat="false" ht="15" hidden="false" customHeight="false" outlineLevel="0" collapsed="false">
      <c r="A31" s="45"/>
    </row>
    <row r="32" customFormat="false" ht="19.4" hidden="false" customHeight="false" outlineLevel="0" collapsed="false">
      <c r="A32" s="46" t="s">
        <v>97</v>
      </c>
    </row>
    <row r="33" customFormat="false" ht="17.15" hidden="false" customHeight="false" outlineLevel="0" collapsed="false">
      <c r="A33" s="47" t="s">
        <v>98</v>
      </c>
    </row>
    <row r="34" customFormat="false" ht="17.15" hidden="false" customHeight="false" outlineLevel="0" collapsed="false">
      <c r="A34" s="47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2026-09-16T08:57:56Z</dcterms:created>
  <dc:creator>openpyxl</dc:creator>
  <dc:description/>
  <dc:language>en-US</dc:language>
  <cp:lastModifiedBy/>
  <dcterms:modified xsi:type="dcterms:W3CDTF">2026-09-16T08:57:56Z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