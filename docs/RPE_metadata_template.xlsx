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bjects" sheetId="2" state="visible" r:id="rId4"/>
    <sheet name="Sessions" sheetId="3" state="visible" r:id="rId5"/>
    <sheet name="Sets" sheetId="4" state="visible" r:id="rId6"/>
    <sheet name="Code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<sst xmlns="http://schemas.openxmlformats.org/spreadsheetml/2006/main" count="122" uniqueCount="108">
  <si>
    <r>
      <rPr>
        <b val="true"/>
        <sz val="14"/>
        <rFont val="Arial"/>
        <family val="0"/>
        <charset val="1"/>
      </rPr>
      <t xml:space="preserve">RPE</t>
    </r>
    <r>
      <rPr>
        <b val="true"/>
        <sz val="14"/>
        <rFont val="DejaVu Sans"/>
        <family val="2"/>
      </rPr>
      <t xml:space="preserve">推定研究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DejaVu Sans"/>
        <family val="2"/>
      </rPr>
      <t xml:space="preserve">メタデータ記録テンプレート</t>
    </r>
  </si>
  <si>
    <t xml:space="preserve">【目的】</t>
  </si>
  <si>
    <r>
      <rPr>
        <sz val="11"/>
        <rFont val="DejaVu Sans"/>
        <family val="2"/>
      </rPr>
      <t xml:space="preserve">このファイルは、</t>
    </r>
    <r>
      <rPr>
        <sz val="11"/>
        <rFont val="Arial"/>
        <family val="0"/>
        <charset val="1"/>
      </rPr>
      <t xml:space="preserve">M5StickC Plus + UDP</t>
    </r>
    <r>
      <rPr>
        <sz val="11"/>
        <rFont val="DejaVu Sans"/>
        <family val="2"/>
      </rPr>
      <t xml:space="preserve">計測システムで取得した</t>
    </r>
    <r>
      <rPr>
        <sz val="11"/>
        <rFont val="Arial"/>
        <family val="0"/>
        <charset val="1"/>
      </rPr>
      <t xml:space="preserve">CSV</t>
    </r>
    <r>
      <rPr>
        <sz val="11"/>
        <rFont val="DejaVu Sans"/>
        <family val="2"/>
      </rPr>
      <t xml:space="preserve">データと</t>
    </r>
  </si>
  <si>
    <r>
      <rPr>
        <sz val="11"/>
        <rFont val="DejaVu Sans"/>
        <family val="2"/>
      </rPr>
      <t xml:space="preserve">実験条件・主観評価（</t>
    </r>
    <r>
      <rPr>
        <sz val="11"/>
        <rFont val="Arial"/>
        <family val="0"/>
        <charset val="1"/>
      </rPr>
      <t xml:space="preserve">RPE</t>
    </r>
    <r>
      <rPr>
        <sz val="11"/>
        <rFont val="DejaVu Sans"/>
        <family val="2"/>
      </rPr>
      <t xml:space="preserve">等）を紐づけるためのメタデータ管理表です。</t>
    </r>
  </si>
  <si>
    <t xml:space="preserve">【使い方】</t>
  </si>
  <si>
    <r>
      <rPr>
        <sz val="11"/>
        <rFont val="Arial"/>
        <family val="0"/>
        <charset val="1"/>
      </rPr>
      <t xml:space="preserve">1. </t>
    </r>
    <r>
      <rPr>
        <sz val="11"/>
        <rFont val="DejaVu Sans"/>
        <family val="2"/>
      </rPr>
      <t xml:space="preserve">実験前に </t>
    </r>
    <r>
      <rPr>
        <sz val="11"/>
        <rFont val="Arial"/>
        <family val="0"/>
        <charset val="1"/>
      </rPr>
      <t xml:space="preserve">Subjects </t>
    </r>
    <r>
      <rPr>
        <sz val="11"/>
        <rFont val="DejaVu Sans"/>
        <family val="2"/>
      </rPr>
      <t xml:space="preserve">シートに被験者情報を登録（</t>
    </r>
    <r>
      <rPr>
        <sz val="11"/>
        <rFont val="Arial"/>
        <family val="0"/>
        <charset val="1"/>
      </rPr>
      <t xml:space="preserve">subject_id </t>
    </r>
    <r>
      <rPr>
        <sz val="11"/>
        <rFont val="DejaVu Sans"/>
        <family val="2"/>
      </rPr>
      <t xml:space="preserve">を採番）</t>
    </r>
  </si>
  <si>
    <r>
      <rPr>
        <sz val="11"/>
        <rFont val="Arial"/>
        <family val="0"/>
        <charset val="1"/>
      </rPr>
      <t xml:space="preserve">2. </t>
    </r>
    <r>
      <rPr>
        <sz val="11"/>
        <rFont val="DejaVu Sans"/>
        <family val="2"/>
      </rPr>
      <t xml:space="preserve">各セッション開始時に </t>
    </r>
    <r>
      <rPr>
        <sz val="11"/>
        <rFont val="Arial"/>
        <family val="0"/>
        <charset val="1"/>
      </rPr>
      <t xml:space="preserve">Sessions </t>
    </r>
    <r>
      <rPr>
        <sz val="11"/>
        <rFont val="DejaVu Sans"/>
        <family val="2"/>
      </rPr>
      <t xml:space="preserve">シートに</t>
    </r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行追加（</t>
    </r>
    <r>
      <rPr>
        <sz val="11"/>
        <rFont val="Arial"/>
        <family val="0"/>
        <charset val="1"/>
      </rPr>
      <t xml:space="preserve">session_id </t>
    </r>
    <r>
      <rPr>
        <sz val="11"/>
        <rFont val="DejaVu Sans"/>
        <family val="2"/>
      </rPr>
      <t xml:space="preserve">を採番）</t>
    </r>
  </si>
  <si>
    <r>
      <rPr>
        <sz val="11"/>
        <rFont val="Arial"/>
        <family val="0"/>
        <charset val="1"/>
      </rPr>
      <t xml:space="preserve">3. </t>
    </r>
    <r>
      <rPr>
        <sz val="11"/>
        <rFont val="DejaVu Sans"/>
        <family val="2"/>
      </rPr>
      <t xml:space="preserve">各セット終了直後に </t>
    </r>
    <r>
      <rPr>
        <sz val="11"/>
        <rFont val="Arial"/>
        <family val="0"/>
        <charset val="1"/>
      </rPr>
      <t xml:space="preserve">Sets </t>
    </r>
    <r>
      <rPr>
        <sz val="11"/>
        <rFont val="DejaVu Sans"/>
        <family val="2"/>
      </rPr>
      <t xml:space="preserve">シートに</t>
    </r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行追加し、</t>
    </r>
    <r>
      <rPr>
        <sz val="11"/>
        <rFont val="Arial"/>
        <family val="0"/>
        <charset val="1"/>
      </rPr>
      <t xml:space="preserve">CSV</t>
    </r>
    <r>
      <rPr>
        <sz val="11"/>
        <rFont val="DejaVu Sans"/>
        <family val="2"/>
      </rPr>
      <t xml:space="preserve">ファイル名と</t>
    </r>
    <r>
      <rPr>
        <sz val="11"/>
        <rFont val="Arial"/>
        <family val="0"/>
        <charset val="1"/>
      </rPr>
      <t xml:space="preserve">RPE</t>
    </r>
    <r>
      <rPr>
        <sz val="11"/>
        <rFont val="DejaVu Sans"/>
        <family val="2"/>
      </rPr>
      <t xml:space="preserve">を記録</t>
    </r>
  </si>
  <si>
    <r>
      <rPr>
        <sz val="11"/>
        <rFont val="Arial"/>
        <family val="0"/>
        <charset val="1"/>
      </rPr>
      <t xml:space="preserve">4. </t>
    </r>
    <r>
      <rPr>
        <sz val="11"/>
        <rFont val="DejaVu Sans"/>
        <family val="2"/>
      </rPr>
      <t xml:space="preserve">青文字のセルが入力欄。黒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緑は数式（自動計算）</t>
    </r>
  </si>
  <si>
    <r>
      <rPr>
        <sz val="11"/>
        <rFont val="DejaVu Sans"/>
        <family val="2"/>
      </rPr>
      <t xml:space="preserve">【</t>
    </r>
    <r>
      <rPr>
        <sz val="11"/>
        <rFont val="Arial"/>
        <family val="0"/>
        <charset val="1"/>
      </rPr>
      <t xml:space="preserve">RPE</t>
    </r>
    <r>
      <rPr>
        <sz val="11"/>
        <rFont val="DejaVu Sans"/>
        <family val="2"/>
      </rPr>
      <t xml:space="preserve">スケール】</t>
    </r>
    <r>
      <rPr>
        <sz val="11"/>
        <rFont val="Arial"/>
        <family val="0"/>
        <charset val="1"/>
      </rPr>
      <t xml:space="preserve">(Powerlifting RPE)</t>
    </r>
  </si>
  <si>
    <r>
      <rPr>
        <sz val="11"/>
        <rFont val="Arial"/>
        <family val="0"/>
        <charset val="1"/>
      </rPr>
      <t xml:space="preserve">  10  : 1RM</t>
    </r>
    <r>
      <rPr>
        <sz val="11"/>
        <rFont val="DejaVu Sans"/>
        <family val="2"/>
      </rPr>
      <t xml:space="preserve">、これ以上</t>
    </r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レップも不可能</t>
    </r>
  </si>
  <si>
    <r>
      <rPr>
        <sz val="11"/>
        <rFont val="Arial"/>
        <family val="0"/>
        <charset val="1"/>
      </rPr>
      <t xml:space="preserve">  9.5 : 1</t>
    </r>
    <r>
      <rPr>
        <sz val="11"/>
        <rFont val="DejaVu Sans"/>
        <family val="2"/>
      </rPr>
      <t xml:space="preserve">レップだけ余力あり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フォーム崩れ</t>
    </r>
  </si>
  <si>
    <r>
      <rPr>
        <sz val="11"/>
        <rFont val="Arial"/>
        <family val="0"/>
        <charset val="1"/>
      </rPr>
      <t xml:space="preserve">  9   : 1</t>
    </r>
    <r>
      <rPr>
        <sz val="11"/>
        <rFont val="DejaVu Sans"/>
        <family val="2"/>
      </rPr>
      <t xml:space="preserve">レップの余力</t>
    </r>
  </si>
  <si>
    <r>
      <rPr>
        <sz val="11"/>
        <rFont val="Arial"/>
        <family val="0"/>
        <charset val="1"/>
      </rPr>
      <t xml:space="preserve">  8.5 : 1</t>
    </r>
    <r>
      <rPr>
        <sz val="11"/>
        <rFont val="DejaVu Sans"/>
        <family val="2"/>
      </rPr>
      <t xml:space="preserve">〜</t>
    </r>
    <r>
      <rPr>
        <sz val="11"/>
        <rFont val="Arial"/>
        <family val="0"/>
        <charset val="1"/>
      </rPr>
      <t xml:space="preserve">2</t>
    </r>
    <r>
      <rPr>
        <sz val="11"/>
        <rFont val="DejaVu Sans"/>
        <family val="2"/>
      </rPr>
      <t xml:space="preserve">レップの余力</t>
    </r>
  </si>
  <si>
    <r>
      <rPr>
        <sz val="11"/>
        <rFont val="Arial"/>
        <family val="0"/>
        <charset val="1"/>
      </rPr>
      <t xml:space="preserve">  8   : 2</t>
    </r>
    <r>
      <rPr>
        <sz val="11"/>
        <rFont val="DejaVu Sans"/>
        <family val="2"/>
      </rPr>
      <t xml:space="preserve">レップの余力</t>
    </r>
  </si>
  <si>
    <r>
      <rPr>
        <sz val="11"/>
        <rFont val="Arial"/>
        <family val="0"/>
        <charset val="1"/>
      </rPr>
      <t xml:space="preserve">  7.5 : 2</t>
    </r>
    <r>
      <rPr>
        <sz val="11"/>
        <rFont val="DejaVu Sans"/>
        <family val="2"/>
      </rPr>
      <t xml:space="preserve">〜</t>
    </r>
    <r>
      <rPr>
        <sz val="11"/>
        <rFont val="Arial"/>
        <family val="0"/>
        <charset val="1"/>
      </rPr>
      <t xml:space="preserve">3</t>
    </r>
    <r>
      <rPr>
        <sz val="11"/>
        <rFont val="DejaVu Sans"/>
        <family val="2"/>
      </rPr>
      <t xml:space="preserve">レップの余力</t>
    </r>
  </si>
  <si>
    <r>
      <rPr>
        <sz val="11"/>
        <rFont val="Arial"/>
        <family val="0"/>
        <charset val="1"/>
      </rPr>
      <t xml:space="preserve">  7   : 3</t>
    </r>
    <r>
      <rPr>
        <sz val="11"/>
        <rFont val="DejaVu Sans"/>
        <family val="2"/>
      </rPr>
      <t xml:space="preserve">レップの余力</t>
    </r>
  </si>
  <si>
    <r>
      <rPr>
        <sz val="11"/>
        <rFont val="Arial"/>
        <family val="0"/>
        <charset val="1"/>
      </rPr>
      <t xml:space="preserve">  6   : 4</t>
    </r>
    <r>
      <rPr>
        <sz val="11"/>
        <rFont val="DejaVu Sans"/>
        <family val="2"/>
      </rPr>
      <t xml:space="preserve">〜</t>
    </r>
    <r>
      <rPr>
        <sz val="11"/>
        <rFont val="Arial"/>
        <family val="0"/>
        <charset val="1"/>
      </rPr>
      <t xml:space="preserve">6</t>
    </r>
    <r>
      <rPr>
        <sz val="11"/>
        <rFont val="DejaVu Sans"/>
        <family val="2"/>
      </rPr>
      <t xml:space="preserve">レップの余力</t>
    </r>
  </si>
  <si>
    <r>
      <rPr>
        <sz val="11"/>
        <rFont val="Arial"/>
        <family val="0"/>
        <charset val="1"/>
      </rPr>
      <t xml:space="preserve">  ≤5  : 4</t>
    </r>
    <r>
      <rPr>
        <sz val="11"/>
        <rFont val="DejaVu Sans"/>
        <family val="2"/>
      </rPr>
      <t xml:space="preserve">レップ以上の余力（ウォームアップ相当）</t>
    </r>
  </si>
  <si>
    <t xml:space="preserve">【シート構成】</t>
  </si>
  <si>
    <r>
      <rPr>
        <sz val="11"/>
        <rFont val="Arial"/>
        <family val="0"/>
        <charset val="1"/>
      </rPr>
      <t xml:space="preserve">  Subjects : </t>
    </r>
    <r>
      <rPr>
        <sz val="11"/>
        <rFont val="DejaVu Sans"/>
        <family val="2"/>
      </rPr>
      <t xml:space="preserve">被験者マスタ</t>
    </r>
  </si>
  <si>
    <r>
      <rPr>
        <sz val="11"/>
        <rFont val="Arial"/>
        <family val="0"/>
        <charset val="1"/>
      </rPr>
      <t xml:space="preserve">  Sessions : </t>
    </r>
    <r>
      <rPr>
        <sz val="11"/>
        <rFont val="DejaVu Sans"/>
        <family val="2"/>
      </rPr>
      <t xml:space="preserve">セッション（実験日）単位の記録</t>
    </r>
  </si>
  <si>
    <r>
      <rPr>
        <sz val="11"/>
        <rFont val="Arial"/>
        <family val="0"/>
        <charset val="1"/>
      </rPr>
      <t xml:space="preserve">  Sets     : 1</t>
    </r>
    <r>
      <rPr>
        <sz val="11"/>
        <rFont val="DejaVu Sans"/>
        <family val="2"/>
      </rPr>
      <t xml:space="preserve">セット </t>
    </r>
    <r>
      <rPr>
        <sz val="11"/>
        <rFont val="Arial"/>
        <family val="0"/>
        <charset val="1"/>
      </rPr>
      <t xml:space="preserve">= 1</t>
    </r>
    <r>
      <rPr>
        <sz val="11"/>
        <rFont val="DejaVu Sans"/>
        <family val="2"/>
      </rPr>
      <t xml:space="preserve">試技 単位の記録（解析の主役）</t>
    </r>
  </si>
  <si>
    <r>
      <rPr>
        <sz val="11"/>
        <rFont val="Arial"/>
        <family val="0"/>
        <charset val="1"/>
      </rPr>
      <t xml:space="preserve">  CodeList : RPE</t>
    </r>
    <r>
      <rPr>
        <sz val="11"/>
        <rFont val="DejaVu Sans"/>
        <family val="2"/>
      </rPr>
      <t xml:space="preserve">・性別などの選択肢一覧</t>
    </r>
  </si>
  <si>
    <t xml:space="preserve">【注意】</t>
  </si>
  <si>
    <r>
      <rPr>
        <sz val="11"/>
        <rFont val="DejaVu Sans"/>
        <family val="2"/>
      </rPr>
      <t xml:space="preserve">  ・</t>
    </r>
    <r>
      <rPr>
        <sz val="11"/>
        <rFont val="Arial"/>
        <family val="0"/>
        <charset val="1"/>
      </rPr>
      <t xml:space="preserve">csv_filename </t>
    </r>
    <r>
      <rPr>
        <sz val="11"/>
        <rFont val="DejaVu Sans"/>
        <family val="2"/>
      </rPr>
      <t xml:space="preserve">は </t>
    </r>
    <r>
      <rPr>
        <sz val="11"/>
        <rFont val="Arial"/>
        <family val="0"/>
        <charset val="1"/>
      </rPr>
      <t xml:space="preserve">PC</t>
    </r>
    <r>
      <rPr>
        <sz val="11"/>
        <rFont val="DejaVu Sans"/>
        <family val="2"/>
      </rPr>
      <t xml:space="preserve">側スクリプトが生成した </t>
    </r>
    <r>
      <rPr>
        <sz val="11"/>
        <rFont val="Arial"/>
        <family val="0"/>
        <charset val="1"/>
      </rPr>
      <t xml:space="preserve">YYYYMMDD_HHMMSS.csv </t>
    </r>
    <r>
      <rPr>
        <sz val="11"/>
        <rFont val="DejaVu Sans"/>
        <family val="2"/>
      </rPr>
      <t xml:space="preserve">をそのまま</t>
    </r>
  </si>
  <si>
    <r>
      <rPr>
        <sz val="11"/>
        <rFont val="DejaVu Sans"/>
        <family val="2"/>
      </rPr>
      <t xml:space="preserve">  ・</t>
    </r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セット </t>
    </r>
    <r>
      <rPr>
        <sz val="11"/>
        <rFont val="Arial"/>
        <family val="0"/>
        <charset val="1"/>
      </rPr>
      <t xml:space="preserve">= </t>
    </r>
    <r>
      <rPr>
        <sz val="11"/>
        <rFont val="DejaVu Sans"/>
        <family val="2"/>
      </rPr>
      <t xml:space="preserve">ボタン</t>
    </r>
    <r>
      <rPr>
        <sz val="11"/>
        <rFont val="Arial"/>
        <family val="0"/>
        <charset val="1"/>
      </rPr>
      <t xml:space="preserve">A</t>
    </r>
    <r>
      <rPr>
        <sz val="11"/>
        <rFont val="DejaVu Sans"/>
        <family val="2"/>
      </rPr>
      <t xml:space="preserve">押下〜次のボタン</t>
    </r>
    <r>
      <rPr>
        <sz val="11"/>
        <rFont val="Arial"/>
        <family val="0"/>
        <charset val="1"/>
      </rPr>
      <t xml:space="preserve">A</t>
    </r>
    <r>
      <rPr>
        <sz val="11"/>
        <rFont val="DejaVu Sans"/>
        <family val="2"/>
      </rPr>
      <t xml:space="preserve">押下 までを指す</t>
    </r>
  </si>
  <si>
    <t xml:space="preserve">  ・記入漏れがあると後段の機械学習で欠損になるので必ず即時記入</t>
  </si>
  <si>
    <t xml:space="preserve">subject_id</t>
  </si>
  <si>
    <t xml:space="preserve">name_or_initial</t>
  </si>
  <si>
    <t xml:space="preserve">sex</t>
  </si>
  <si>
    <t xml:space="preserve">age</t>
  </si>
  <si>
    <t xml:space="preserve">height_cm</t>
  </si>
  <si>
    <t xml:space="preserve">weight_kg</t>
  </si>
  <si>
    <t xml:space="preserve">training_years</t>
  </si>
  <si>
    <t xml:space="preserve">est_1rm_squat_kg</t>
  </si>
  <si>
    <t xml:space="preserve">dominant_leg</t>
  </si>
  <si>
    <t xml:space="preserve">injury_history</t>
  </si>
  <si>
    <t xml:space="preserve">notes</t>
  </si>
  <si>
    <t xml:space="preserve">S001</t>
  </si>
  <si>
    <t xml:space="preserve">MS</t>
  </si>
  <si>
    <t xml:space="preserve">M</t>
  </si>
  <si>
    <t xml:space="preserve">R</t>
  </si>
  <si>
    <t xml:space="preserve">なし</t>
  </si>
  <si>
    <t xml:space="preserve">session_id</t>
  </si>
  <si>
    <t xml:space="preserve">date</t>
  </si>
  <si>
    <t xml:space="preserve">location</t>
  </si>
  <si>
    <t xml:space="preserve">start_time</t>
  </si>
  <si>
    <t xml:space="preserve">end_time</t>
  </si>
  <si>
    <t xml:space="preserve">m5_unit_id</t>
  </si>
  <si>
    <t xml:space="preserve">sampling_hz</t>
  </si>
  <si>
    <t xml:space="preserve">wifi_ssid</t>
  </si>
  <si>
    <t xml:space="preserve">mount_method</t>
  </si>
  <si>
    <t xml:space="preserve">mount_orientation</t>
  </si>
  <si>
    <t xml:space="preserve">weather_temp_c</t>
  </si>
  <si>
    <t xml:space="preserve">subject_condition</t>
  </si>
  <si>
    <t xml:space="preserve">SES001</t>
  </si>
  <si>
    <t xml:space="preserve">2026-05-25</t>
  </si>
  <si>
    <r>
      <rPr>
        <sz val="11"/>
        <color rgb="FF0000FF"/>
        <rFont val="DejaVu Sans"/>
        <family val="2"/>
      </rPr>
      <t xml:space="preserve">ジム</t>
    </r>
    <r>
      <rPr>
        <sz val="11"/>
        <color rgb="FF0000FF"/>
        <rFont val="Arial"/>
        <family val="0"/>
        <charset val="1"/>
      </rPr>
      <t xml:space="preserve">A</t>
    </r>
  </si>
  <si>
    <t xml:space="preserve">14:00</t>
  </si>
  <si>
    <t xml:space="preserve">15:30</t>
  </si>
  <si>
    <t xml:space="preserve">M5-01</t>
  </si>
  <si>
    <t xml:space="preserve">PWR_Router</t>
  </si>
  <si>
    <t xml:space="preserve">ゴムバンド</t>
  </si>
  <si>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DejaVu Sans"/>
        <family val="2"/>
      </rPr>
      <t xml:space="preserve">軸</t>
    </r>
    <r>
      <rPr>
        <sz val="11"/>
        <color rgb="FF0000FF"/>
        <rFont val="Arial"/>
        <family val="0"/>
        <charset val="1"/>
      </rPr>
      <t xml:space="preserve">=</t>
    </r>
    <r>
      <rPr>
        <sz val="11"/>
        <color rgb="FF0000FF"/>
        <rFont val="DejaVu Sans"/>
        <family val="2"/>
      </rPr>
      <t xml:space="preserve">鉛直上</t>
    </r>
  </si>
  <si>
    <r>
      <rPr>
        <sz val="11"/>
        <color rgb="FF0000FF"/>
        <rFont val="DejaVu Sans"/>
        <family val="2"/>
      </rPr>
      <t xml:space="preserve">良好（睡眠</t>
    </r>
    <r>
      <rPr>
        <sz val="11"/>
        <color rgb="FF0000FF"/>
        <rFont val="Arial"/>
        <family val="0"/>
        <charset val="1"/>
      </rPr>
      <t xml:space="preserve">7h</t>
    </r>
    <r>
      <rPr>
        <sz val="11"/>
        <color rgb="FF0000FF"/>
        <rFont val="DejaVu Sans"/>
        <family val="2"/>
      </rPr>
      <t xml:space="preserve">）</t>
    </r>
  </si>
  <si>
    <t xml:space="preserve">set_uid</t>
  </si>
  <si>
    <t xml:space="preserve">set_no</t>
  </si>
  <si>
    <t xml:space="preserve">csv_filename</t>
  </si>
  <si>
    <t xml:space="preserve">exercise</t>
  </si>
  <si>
    <t xml:space="preserve">weight_pct_1rm</t>
  </si>
  <si>
    <t xml:space="preserve">reps_planned</t>
  </si>
  <si>
    <t xml:space="preserve">reps_completed</t>
  </si>
  <si>
    <t xml:space="preserve">rpe</t>
  </si>
  <si>
    <t xml:space="preserve">rir</t>
  </si>
  <si>
    <t xml:space="preserve">success</t>
  </si>
  <si>
    <t xml:space="preserve">form_quality_1to5</t>
  </si>
  <si>
    <t xml:space="preserve">rest_before_sec</t>
  </si>
  <si>
    <t xml:space="preserve">peak_velocity_mps</t>
  </si>
  <si>
    <t xml:space="preserve">avg_velocity_mps</t>
  </si>
  <si>
    <t xml:space="preserve">rms_accel_mps2</t>
  </si>
  <si>
    <t xml:space="preserve">duration_sec</t>
  </si>
  <si>
    <t xml:space="preserve">SES001_1</t>
  </si>
  <si>
    <t xml:space="preserve">20260525_140530.csv</t>
  </si>
  <si>
    <t xml:space="preserve">Squat</t>
  </si>
  <si>
    <t xml:space="preserve">Y</t>
  </si>
  <si>
    <t xml:space="preserve">ウォームアップ後</t>
  </si>
  <si>
    <t xml:space="preserve">SES001_2</t>
  </si>
  <si>
    <t xml:space="preserve">20260525_141215.csv</t>
  </si>
  <si>
    <t xml:space="preserve">SES001_3</t>
  </si>
  <si>
    <t xml:space="preserve">20260525_142100.csv</t>
  </si>
  <si>
    <t xml:space="preserve">ベルト着用</t>
  </si>
  <si>
    <t xml:space="preserve">RPE Scale (Powerlifting)</t>
  </si>
  <si>
    <t xml:space="preserve">Form Quality 1-5</t>
  </si>
  <si>
    <r>
      <rPr>
        <sz val="11"/>
        <color theme="1"/>
        <rFont val="Calibri"/>
        <family val="2"/>
        <charset val="1"/>
      </rPr>
      <t xml:space="preserve">1RM</t>
    </r>
    <r>
      <rPr>
        <sz val="11"/>
        <color theme="1"/>
        <rFont val="DejaVu Sans"/>
        <family val="2"/>
      </rPr>
      <t xml:space="preserve">。これ以上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レップ不可能</t>
    </r>
  </si>
  <si>
    <t xml:space="preserve">完璧、教科書通り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</si>
  <si>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レップ余力あり、ただしフォーム崩れ</t>
    </r>
  </si>
  <si>
    <t xml:space="preserve">ほぼ理想、軽微なブレ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</si>
  <si>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レップの余力</t>
    </r>
  </si>
  <si>
    <t xml:space="preserve">良好、若干のフォーム崩れあり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</si>
  <si>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レップの余力</t>
    </r>
  </si>
  <si>
    <t xml:space="preserve">明らかなフォーム崩れ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</si>
  <si>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レップの余力</t>
    </r>
  </si>
  <si>
    <r>
      <rPr>
        <sz val="11"/>
        <color theme="1"/>
        <rFont val="DejaVu Sans"/>
        <family val="2"/>
      </rPr>
      <t xml:space="preserve">失敗 </t>
    </r>
    <r>
      <rPr>
        <sz val="11"/>
        <color theme="1"/>
        <rFont val="Calibri"/>
        <family val="2"/>
        <charset val="1"/>
      </rPr>
      <t xml:space="preserve">or </t>
    </r>
    <r>
      <rPr>
        <sz val="11"/>
        <color theme="1"/>
        <rFont val="DejaVu Sans"/>
        <family val="2"/>
      </rPr>
      <t xml:space="preserve">危険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</si>
  <si>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レップの余力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</si>
  <si>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レップの余力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</si>
  <si>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レップの余力</t>
    </r>
  </si>
  <si>
    <t xml:space="preserve">ウォームアップ強度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</si>
</sst>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DejaVu Sans"/>
      <family val="2"/>
    </font>
    <font>
      <sz val="11"/>
      <name val="Arial"/>
      <family val="0"/>
      <charset val="1"/>
    </font>
    <font>
      <sz val="11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DejaVu Sans"/>
      <family val="2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1"/>
      <color theme="1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4.9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4.9" hidden="false" customHeight="fals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A7" s="3" t="s">
        <v>4</v>
      </c>
      <c r="B7" s="3"/>
      <c r="C7" s="3"/>
      <c r="D7" s="3"/>
      <c r="E7" s="3"/>
      <c r="F7" s="3"/>
      <c r="G7" s="3"/>
      <c r="H7" s="3"/>
    </row>
    <row r="8" customFormat="false" ht="14.9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14.9" hidden="false" customHeight="false" outlineLevel="0" collapsed="false">
      <c r="A9" s="2" t="s">
        <v>6</v>
      </c>
      <c r="B9" s="2"/>
      <c r="C9" s="2"/>
      <c r="D9" s="2"/>
      <c r="E9" s="2"/>
      <c r="F9" s="2"/>
      <c r="G9" s="2"/>
      <c r="H9" s="2"/>
    </row>
    <row r="10" customFormat="false" ht="14.9" hidden="false" customHeight="false" outlineLevel="0" collapsed="false">
      <c r="A10" s="2" t="s">
        <v>7</v>
      </c>
      <c r="B10" s="2"/>
      <c r="C10" s="2"/>
      <c r="D10" s="2"/>
      <c r="E10" s="2"/>
      <c r="F10" s="2"/>
      <c r="G10" s="2"/>
      <c r="H10" s="2"/>
    </row>
    <row r="11" customFormat="false" ht="14.9" hidden="false" customHeight="fals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4.9" hidden="false" customHeight="false" outlineLevel="0" collapsed="false">
      <c r="A13" s="3" t="s">
        <v>9</v>
      </c>
      <c r="B13" s="3"/>
      <c r="C13" s="3"/>
      <c r="D13" s="3"/>
      <c r="E13" s="3"/>
      <c r="F13" s="3"/>
      <c r="G13" s="3"/>
      <c r="H13" s="3"/>
    </row>
    <row r="14" customFormat="false" ht="14.9" hidden="false" customHeight="false" outlineLevel="0" collapsed="false">
      <c r="A14" s="2" t="s">
        <v>10</v>
      </c>
      <c r="B14" s="2"/>
      <c r="C14" s="2"/>
      <c r="D14" s="2"/>
      <c r="E14" s="2"/>
      <c r="F14" s="2"/>
      <c r="G14" s="2"/>
      <c r="H14" s="2"/>
    </row>
    <row r="15" customFormat="false" ht="14.9" hidden="false" customHeight="false" outlineLevel="0" collapsed="false">
      <c r="A15" s="2" t="s">
        <v>11</v>
      </c>
      <c r="B15" s="2"/>
      <c r="C15" s="2"/>
      <c r="D15" s="2"/>
      <c r="E15" s="2"/>
      <c r="F15" s="2"/>
      <c r="G15" s="2"/>
      <c r="H15" s="2"/>
    </row>
    <row r="16" customFormat="false" ht="14.9" hidden="false" customHeight="false" outlineLevel="0" collapsed="false">
      <c r="A16" s="2" t="s">
        <v>12</v>
      </c>
      <c r="B16" s="2"/>
      <c r="C16" s="2"/>
      <c r="D16" s="2"/>
      <c r="E16" s="2"/>
      <c r="F16" s="2"/>
      <c r="G16" s="2"/>
      <c r="H16" s="2"/>
    </row>
    <row r="17" customFormat="false" ht="14.9" hidden="false" customHeight="false" outlineLevel="0" collapsed="false">
      <c r="A17" s="2" t="s">
        <v>13</v>
      </c>
      <c r="B17" s="2"/>
      <c r="C17" s="2"/>
      <c r="D17" s="2"/>
      <c r="E17" s="2"/>
      <c r="F17" s="2"/>
      <c r="G17" s="2"/>
      <c r="H17" s="2"/>
    </row>
    <row r="18" customFormat="false" ht="14.9" hidden="false" customHeight="false" outlineLevel="0" collapsed="false">
      <c r="A18" s="2" t="s">
        <v>14</v>
      </c>
      <c r="B18" s="2"/>
      <c r="C18" s="2"/>
      <c r="D18" s="2"/>
      <c r="E18" s="2"/>
      <c r="F18" s="2"/>
      <c r="G18" s="2"/>
      <c r="H18" s="2"/>
    </row>
    <row r="19" customFormat="false" ht="14.9" hidden="false" customHeight="false" outlineLevel="0" collapsed="false">
      <c r="A19" s="2" t="s">
        <v>15</v>
      </c>
      <c r="B19" s="2"/>
      <c r="C19" s="2"/>
      <c r="D19" s="2"/>
      <c r="E19" s="2"/>
      <c r="F19" s="2"/>
      <c r="G19" s="2"/>
      <c r="H19" s="2"/>
    </row>
    <row r="20" customFormat="false" ht="14.9" hidden="false" customHeight="false" outlineLevel="0" collapsed="false">
      <c r="A20" s="2" t="s">
        <v>16</v>
      </c>
      <c r="B20" s="2"/>
      <c r="C20" s="2"/>
      <c r="D20" s="2"/>
      <c r="E20" s="2"/>
      <c r="F20" s="2"/>
      <c r="G20" s="2"/>
      <c r="H20" s="2"/>
    </row>
    <row r="21" customFormat="false" ht="14.9" hidden="false" customHeight="false" outlineLevel="0" collapsed="false">
      <c r="A21" s="2" t="s">
        <v>17</v>
      </c>
      <c r="B21" s="2"/>
      <c r="C21" s="2"/>
      <c r="D21" s="2"/>
      <c r="E21" s="2"/>
      <c r="F21" s="2"/>
      <c r="G21" s="2"/>
      <c r="H21" s="2"/>
    </row>
    <row r="22" customFormat="false" ht="14.9" hidden="false" customHeight="false" outlineLevel="0" collapsed="false">
      <c r="A22" s="2" t="s">
        <v>18</v>
      </c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3" t="s">
        <v>19</v>
      </c>
      <c r="B24" s="3"/>
      <c r="C24" s="3"/>
      <c r="D24" s="3"/>
      <c r="E24" s="3"/>
      <c r="F24" s="3"/>
      <c r="G24" s="3"/>
      <c r="H24" s="3"/>
    </row>
    <row r="25" customFormat="false" ht="14.9" hidden="false" customHeight="false" outlineLevel="0" collapsed="false">
      <c r="A25" s="2" t="s">
        <v>20</v>
      </c>
      <c r="B25" s="2"/>
      <c r="C25" s="2"/>
      <c r="D25" s="2"/>
      <c r="E25" s="2"/>
      <c r="F25" s="2"/>
      <c r="G25" s="2"/>
      <c r="H25" s="2"/>
    </row>
    <row r="26" customFormat="false" ht="14.9" hidden="false" customHeight="false" outlineLevel="0" collapsed="false">
      <c r="A26" s="2" t="s">
        <v>21</v>
      </c>
      <c r="B26" s="2"/>
      <c r="C26" s="2"/>
      <c r="D26" s="2"/>
      <c r="E26" s="2"/>
      <c r="F26" s="2"/>
      <c r="G26" s="2"/>
      <c r="H26" s="2"/>
    </row>
    <row r="27" customFormat="false" ht="14.9" hidden="false" customHeight="false" outlineLevel="0" collapsed="false">
      <c r="A27" s="2" t="s">
        <v>22</v>
      </c>
      <c r="B27" s="2"/>
      <c r="C27" s="2"/>
      <c r="D27" s="2"/>
      <c r="E27" s="2"/>
      <c r="F27" s="2"/>
      <c r="G27" s="2"/>
      <c r="H27" s="2"/>
    </row>
    <row r="28" customFormat="false" ht="14.9" hidden="false" customHeight="false" outlineLevel="0" collapsed="false">
      <c r="A28" s="2" t="s">
        <v>23</v>
      </c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3" t="s">
        <v>24</v>
      </c>
      <c r="B30" s="3"/>
      <c r="C30" s="3"/>
      <c r="D30" s="3"/>
      <c r="E30" s="3"/>
      <c r="F30" s="3"/>
      <c r="G30" s="3"/>
      <c r="H30" s="3"/>
    </row>
    <row r="31" customFormat="false" ht="14.9" hidden="false" customHeight="false" outlineLevel="0" collapsed="false">
      <c r="A31" s="3" t="s">
        <v>25</v>
      </c>
      <c r="B31" s="3"/>
      <c r="C31" s="3"/>
      <c r="D31" s="3"/>
      <c r="E31" s="3"/>
      <c r="F31" s="3"/>
      <c r="G31" s="3"/>
      <c r="H31" s="3"/>
    </row>
    <row r="32" customFormat="false" ht="14.9" hidden="false" customHeight="false" outlineLevel="0" collapsed="false">
      <c r="A32" s="3" t="s">
        <v>26</v>
      </c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3" t="s">
        <v>27</v>
      </c>
      <c r="B33" s="3"/>
      <c r="C33" s="3"/>
      <c r="D33" s="3"/>
      <c r="E33" s="3"/>
      <c r="F33" s="3"/>
      <c r="G33" s="3"/>
      <c r="H33" s="3"/>
    </row>
  </sheetData>
  <mergeCells count="33">
    <mergeCell ref="A1:F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8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customFormat="false" ht="15" hidden="false" customHeight="false" outlineLevel="0" collapsed="false">
      <c r="A2" s="5" t="s">
        <v>39</v>
      </c>
      <c r="B2" s="5" t="s">
        <v>40</v>
      </c>
      <c r="C2" s="5" t="s">
        <v>41</v>
      </c>
      <c r="D2" s="5" t="n">
        <v>24</v>
      </c>
      <c r="E2" s="5" t="n">
        <v>172</v>
      </c>
      <c r="F2" s="5" t="n">
        <v>78</v>
      </c>
      <c r="G2" s="5" t="n">
        <v>6</v>
      </c>
      <c r="H2" s="5" t="n">
        <v>160</v>
      </c>
      <c r="I2" s="5" t="s">
        <v>42</v>
      </c>
      <c r="J2" s="6" t="s">
        <v>43</v>
      </c>
      <c r="K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</sheetData>
  <dataValidations count="1">
    <dataValidation allowBlank="true" errorStyle="stop" operator="between" showDropDown="false" showErrorMessage="false" showInputMessage="false" sqref="C2:C31" type="list">
      <formula1>"M,F,Other"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10" min="9" style="0" width="18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4" t="s">
        <v>44</v>
      </c>
      <c r="B1" s="4" t="s">
        <v>45</v>
      </c>
      <c r="C1" s="4" t="s">
        <v>28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38</v>
      </c>
    </row>
    <row r="2" customFormat="false" ht="15" hidden="false" customHeight="false" outlineLevel="0" collapsed="false">
      <c r="A2" s="5" t="s">
        <v>56</v>
      </c>
      <c r="B2" s="5" t="s">
        <v>57</v>
      </c>
      <c r="C2" s="5" t="s">
        <v>39</v>
      </c>
      <c r="D2" s="6" t="s">
        <v>58</v>
      </c>
      <c r="E2" s="5" t="s">
        <v>59</v>
      </c>
      <c r="F2" s="5" t="s">
        <v>60</v>
      </c>
      <c r="G2" s="5" t="s">
        <v>61</v>
      </c>
      <c r="H2" s="5" t="n">
        <v>100</v>
      </c>
      <c r="I2" s="5" t="s">
        <v>62</v>
      </c>
      <c r="J2" s="6" t="s">
        <v>63</v>
      </c>
      <c r="K2" s="5" t="s">
        <v>64</v>
      </c>
      <c r="L2" s="5" t="n">
        <v>22</v>
      </c>
      <c r="M2" s="6" t="s">
        <v>65</v>
      </c>
      <c r="N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</sheetData>
  <dataValidations count="1">
    <dataValidation allowBlank="true" errorStyle="stop" operator="between" showDropDown="false" showErrorMessage="false" showInputMessage="false" sqref="C2:C51" type="list">
      <formula1>Subjects!$A$2:$A$31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8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8" min="17" style="0" width="14"/>
    <col collapsed="false" customWidth="true" hidden="false" outlineLevel="0" max="19" min="19" style="0" width="12"/>
    <col collapsed="false" customWidth="true" hidden="false" outlineLevel="0" max="20" min="20" style="0" width="25"/>
  </cols>
  <sheetData>
    <row r="1" customFormat="false" ht="15" hidden="false" customHeight="false" outlineLevel="0" collapsed="false">
      <c r="A1" s="4" t="s">
        <v>66</v>
      </c>
      <c r="B1" s="4" t="s">
        <v>44</v>
      </c>
      <c r="C1" s="4" t="s">
        <v>28</v>
      </c>
      <c r="D1" s="4" t="s">
        <v>67</v>
      </c>
      <c r="E1" s="4" t="s">
        <v>68</v>
      </c>
      <c r="F1" s="4" t="s">
        <v>69</v>
      </c>
      <c r="G1" s="4" t="s">
        <v>33</v>
      </c>
      <c r="H1" s="4" t="s">
        <v>70</v>
      </c>
      <c r="I1" s="4" t="s">
        <v>71</v>
      </c>
      <c r="J1" s="4" t="s">
        <v>72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77</v>
      </c>
      <c r="P1" s="4" t="s">
        <v>78</v>
      </c>
      <c r="Q1" s="4" t="s">
        <v>79</v>
      </c>
      <c r="R1" s="4" t="s">
        <v>80</v>
      </c>
      <c r="S1" s="4" t="s">
        <v>81</v>
      </c>
      <c r="T1" s="4" t="s">
        <v>38</v>
      </c>
    </row>
    <row r="2" customFormat="false" ht="15" hidden="false" customHeight="false" outlineLevel="0" collapsed="false">
      <c r="A2" s="5" t="s">
        <v>82</v>
      </c>
      <c r="B2" s="5" t="s">
        <v>56</v>
      </c>
      <c r="C2" s="7" t="str">
        <f aca="false">IFERROR(VLOOKUP(B2,Sessions!$A$2:$C$51,3,FALSE()),"")</f>
        <v>S001</v>
      </c>
      <c r="D2" s="5" t="n">
        <v>1</v>
      </c>
      <c r="E2" s="5" t="s">
        <v>83</v>
      </c>
      <c r="F2" s="5" t="s">
        <v>84</v>
      </c>
      <c r="G2" s="5" t="n">
        <v>112</v>
      </c>
      <c r="H2" s="8" t="n">
        <f aca="false">IFERROR(G2/VLOOKUP(C2,Subjects!$A$2:$H$31,8,FALSE()),"")</f>
        <v>0.7</v>
      </c>
      <c r="I2" s="5" t="n">
        <v>5</v>
      </c>
      <c r="J2" s="5" t="n">
        <v>5</v>
      </c>
      <c r="K2" s="5" t="n">
        <v>7</v>
      </c>
      <c r="L2" s="7" t="n">
        <f aca="false">IF(ISNUMBER(K2),10-K2,"")</f>
        <v>3</v>
      </c>
      <c r="M2" s="5" t="s">
        <v>85</v>
      </c>
      <c r="N2" s="5" t="n">
        <v>5</v>
      </c>
      <c r="O2" s="5" t="n">
        <v>180</v>
      </c>
      <c r="P2" s="5"/>
      <c r="Q2" s="5"/>
      <c r="R2" s="5"/>
      <c r="S2" s="5"/>
      <c r="T2" s="6" t="s">
        <v>86</v>
      </c>
    </row>
    <row r="3" customFormat="false" ht="15" hidden="false" customHeight="false" outlineLevel="0" collapsed="false">
      <c r="A3" s="5" t="s">
        <v>87</v>
      </c>
      <c r="B3" s="5" t="s">
        <v>56</v>
      </c>
      <c r="C3" s="7" t="str">
        <f aca="false">IFERROR(VLOOKUP(B3,Sessions!$A$2:$C$51,3,FALSE()),"")</f>
        <v>S001</v>
      </c>
      <c r="D3" s="5" t="n">
        <v>2</v>
      </c>
      <c r="E3" s="5" t="s">
        <v>88</v>
      </c>
      <c r="F3" s="5" t="s">
        <v>84</v>
      </c>
      <c r="G3" s="5" t="n">
        <v>128</v>
      </c>
      <c r="H3" s="8" t="n">
        <f aca="false">IFERROR(G3/VLOOKUP(C3,Subjects!$A$2:$H$31,8,FALSE()),"")</f>
        <v>0.8</v>
      </c>
      <c r="I3" s="5" t="n">
        <v>3</v>
      </c>
      <c r="J3" s="5" t="n">
        <v>3</v>
      </c>
      <c r="K3" s="5" t="n">
        <v>8</v>
      </c>
      <c r="L3" s="7" t="n">
        <f aca="false">IF(ISNUMBER(K3),10-K3,"")</f>
        <v>2</v>
      </c>
      <c r="M3" s="5" t="s">
        <v>85</v>
      </c>
      <c r="N3" s="5" t="n">
        <v>4</v>
      </c>
      <c r="O3" s="5" t="n">
        <v>240</v>
      </c>
      <c r="P3" s="5"/>
      <c r="Q3" s="5"/>
      <c r="R3" s="5"/>
      <c r="S3" s="5"/>
      <c r="T3" s="5"/>
    </row>
    <row r="4" customFormat="false" ht="15" hidden="false" customHeight="false" outlineLevel="0" collapsed="false">
      <c r="A4" s="5" t="s">
        <v>89</v>
      </c>
      <c r="B4" s="5" t="s">
        <v>56</v>
      </c>
      <c r="C4" s="7" t="str">
        <f aca="false">IFERROR(VLOOKUP(B4,Sessions!$A$2:$C$51,3,FALSE()),"")</f>
        <v>S001</v>
      </c>
      <c r="D4" s="5" t="n">
        <v>3</v>
      </c>
      <c r="E4" s="5" t="s">
        <v>90</v>
      </c>
      <c r="F4" s="5" t="s">
        <v>84</v>
      </c>
      <c r="G4" s="5" t="n">
        <v>144</v>
      </c>
      <c r="H4" s="8" t="n">
        <f aca="false">IFERROR(G4/VLOOKUP(C4,Subjects!$A$2:$H$31,8,FALSE()),"")</f>
        <v>0.9</v>
      </c>
      <c r="I4" s="5" t="n">
        <v>1</v>
      </c>
      <c r="J4" s="5" t="n">
        <v>1</v>
      </c>
      <c r="K4" s="5" t="n">
        <v>9</v>
      </c>
      <c r="L4" s="7" t="n">
        <f aca="false">IF(ISNUMBER(K4),10-K4,"")</f>
        <v>1</v>
      </c>
      <c r="M4" s="5" t="s">
        <v>85</v>
      </c>
      <c r="N4" s="5" t="n">
        <v>4</v>
      </c>
      <c r="O4" s="5" t="n">
        <v>300</v>
      </c>
      <c r="P4" s="5"/>
      <c r="Q4" s="5"/>
      <c r="R4" s="5"/>
      <c r="S4" s="5"/>
      <c r="T4" s="6" t="s">
        <v>91</v>
      </c>
    </row>
    <row r="5" customFormat="false" ht="15" hidden="false" customHeight="false" outlineLevel="0" collapsed="false">
      <c r="A5" s="5"/>
      <c r="B5" s="5"/>
      <c r="C5" s="7" t="str">
        <f aca="false">IFERROR(VLOOKUP(B5,Sessions!$A$2:$C$51,3,FALSE()),"")</f>
        <v/>
      </c>
      <c r="D5" s="5"/>
      <c r="E5" s="5"/>
      <c r="F5" s="5"/>
      <c r="G5" s="5"/>
      <c r="H5" s="8" t="str">
        <f aca="false">IFERROR(G5/VLOOKUP(C5,Subjects!$A$2:$H$31,8,FALSE()),"")</f>
        <v/>
      </c>
      <c r="I5" s="5"/>
      <c r="J5" s="5"/>
      <c r="K5" s="5"/>
      <c r="L5" s="7" t="str">
        <f aca="false">IF(ISNUMBER(K5),10-K5,"")</f>
        <v/>
      </c>
      <c r="M5" s="5"/>
      <c r="N5" s="5"/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5"/>
      <c r="B6" s="5"/>
      <c r="C6" s="7" t="str">
        <f aca="false">IFERROR(VLOOKUP(B6,Sessions!$A$2:$C$51,3,FALSE()),"")</f>
        <v/>
      </c>
      <c r="D6" s="5"/>
      <c r="E6" s="5"/>
      <c r="F6" s="5"/>
      <c r="G6" s="5"/>
      <c r="H6" s="8" t="str">
        <f aca="false">IFERROR(G6/VLOOKUP(C6,Subjects!$A$2:$H$31,8,FALSE()),"")</f>
        <v/>
      </c>
      <c r="I6" s="5"/>
      <c r="J6" s="5"/>
      <c r="K6" s="5"/>
      <c r="L6" s="7" t="str">
        <f aca="false">IF(ISNUMBER(K6),10-K6,"")</f>
        <v/>
      </c>
      <c r="M6" s="5"/>
      <c r="N6" s="5"/>
      <c r="O6" s="5"/>
      <c r="P6" s="5"/>
      <c r="Q6" s="5"/>
      <c r="R6" s="5"/>
      <c r="S6" s="5"/>
      <c r="T6" s="5"/>
    </row>
    <row r="7" customFormat="false" ht="15" hidden="false" customHeight="false" outlineLevel="0" collapsed="false">
      <c r="A7" s="5"/>
      <c r="B7" s="5"/>
      <c r="C7" s="7" t="str">
        <f aca="false">IFERROR(VLOOKUP(B7,Sessions!$A$2:$C$51,3,FALSE()),"")</f>
        <v/>
      </c>
      <c r="D7" s="5"/>
      <c r="E7" s="5"/>
      <c r="F7" s="5"/>
      <c r="G7" s="5"/>
      <c r="H7" s="8" t="str">
        <f aca="false">IFERROR(G7/VLOOKUP(C7,Subjects!$A$2:$H$31,8,FALSE()),"")</f>
        <v/>
      </c>
      <c r="I7" s="5"/>
      <c r="J7" s="5"/>
      <c r="K7" s="5"/>
      <c r="L7" s="7" t="str">
        <f aca="false">IF(ISNUMBER(K7),10-K7,"")</f>
        <v/>
      </c>
      <c r="M7" s="5"/>
      <c r="N7" s="5"/>
      <c r="O7" s="5"/>
      <c r="P7" s="5"/>
      <c r="Q7" s="5"/>
      <c r="R7" s="5"/>
      <c r="S7" s="5"/>
      <c r="T7" s="5"/>
    </row>
    <row r="8" customFormat="false" ht="15" hidden="false" customHeight="false" outlineLevel="0" collapsed="false">
      <c r="A8" s="5"/>
      <c r="B8" s="5"/>
      <c r="C8" s="7" t="str">
        <f aca="false">IFERROR(VLOOKUP(B8,Sessions!$A$2:$C$51,3,FALSE()),"")</f>
        <v/>
      </c>
      <c r="D8" s="5"/>
      <c r="E8" s="5"/>
      <c r="F8" s="5"/>
      <c r="G8" s="5"/>
      <c r="H8" s="8" t="str">
        <f aca="false">IFERROR(G8/VLOOKUP(C8,Subjects!$A$2:$H$31,8,FALSE()),"")</f>
        <v/>
      </c>
      <c r="I8" s="5"/>
      <c r="J8" s="5"/>
      <c r="K8" s="5"/>
      <c r="L8" s="7" t="str">
        <f aca="false">IF(ISNUMBER(K8),10-K8,"")</f>
        <v/>
      </c>
      <c r="M8" s="5"/>
      <c r="N8" s="5"/>
      <c r="O8" s="5"/>
      <c r="P8" s="5"/>
      <c r="Q8" s="5"/>
      <c r="R8" s="5"/>
      <c r="S8" s="5"/>
      <c r="T8" s="5"/>
    </row>
    <row r="9" customFormat="false" ht="15" hidden="false" customHeight="false" outlineLevel="0" collapsed="false">
      <c r="A9" s="5"/>
      <c r="B9" s="5"/>
      <c r="C9" s="7" t="str">
        <f aca="false">IFERROR(VLOOKUP(B9,Sessions!$A$2:$C$51,3,FALSE()),"")</f>
        <v/>
      </c>
      <c r="D9" s="5"/>
      <c r="E9" s="5"/>
      <c r="F9" s="5"/>
      <c r="G9" s="5"/>
      <c r="H9" s="8" t="str">
        <f aca="false">IFERROR(G9/VLOOKUP(C9,Subjects!$A$2:$H$31,8,FALSE()),"")</f>
        <v/>
      </c>
      <c r="I9" s="5"/>
      <c r="J9" s="5"/>
      <c r="K9" s="5"/>
      <c r="L9" s="7" t="str">
        <f aca="false">IF(ISNUMBER(K9),10-K9,"")</f>
        <v/>
      </c>
      <c r="M9" s="5"/>
      <c r="N9" s="5"/>
      <c r="O9" s="5"/>
      <c r="P9" s="5"/>
      <c r="Q9" s="5"/>
      <c r="R9" s="5"/>
      <c r="S9" s="5"/>
      <c r="T9" s="5"/>
    </row>
    <row r="10" customFormat="false" ht="15" hidden="false" customHeight="false" outlineLevel="0" collapsed="false">
      <c r="A10" s="5"/>
      <c r="B10" s="5"/>
      <c r="C10" s="7" t="str">
        <f aca="false">IFERROR(VLOOKUP(B10,Sessions!$A$2:$C$51,3,FALSE()),"")</f>
        <v/>
      </c>
      <c r="D10" s="5"/>
      <c r="E10" s="5"/>
      <c r="F10" s="5"/>
      <c r="G10" s="5"/>
      <c r="H10" s="8" t="str">
        <f aca="false">IFERROR(G10/VLOOKUP(C10,Subjects!$A$2:$H$31,8,FALSE()),"")</f>
        <v/>
      </c>
      <c r="I10" s="5"/>
      <c r="J10" s="5"/>
      <c r="K10" s="5"/>
      <c r="L10" s="7" t="str">
        <f aca="false">IF(ISNUMBER(K10),10-K10,"")</f>
        <v/>
      </c>
      <c r="M10" s="5"/>
      <c r="N10" s="5"/>
      <c r="O10" s="5"/>
      <c r="P10" s="5"/>
      <c r="Q10" s="5"/>
      <c r="R10" s="5"/>
      <c r="S10" s="5"/>
      <c r="T10" s="5"/>
    </row>
    <row r="11" customFormat="false" ht="15" hidden="false" customHeight="false" outlineLevel="0" collapsed="false">
      <c r="A11" s="5"/>
      <c r="B11" s="5"/>
      <c r="C11" s="7" t="str">
        <f aca="false">IFERROR(VLOOKUP(B11,Sessions!$A$2:$C$51,3,FALSE()),"")</f>
        <v/>
      </c>
      <c r="D11" s="5"/>
      <c r="E11" s="5"/>
      <c r="F11" s="5"/>
      <c r="G11" s="5"/>
      <c r="H11" s="8" t="str">
        <f aca="false">IFERROR(G11/VLOOKUP(C11,Subjects!$A$2:$H$31,8,FALSE()),"")</f>
        <v/>
      </c>
      <c r="I11" s="5"/>
      <c r="J11" s="5"/>
      <c r="K11" s="5"/>
      <c r="L11" s="7" t="str">
        <f aca="false">IF(ISNUMBER(K11),10-K11,"")</f>
        <v/>
      </c>
      <c r="M11" s="5"/>
      <c r="N11" s="5"/>
      <c r="O11" s="5"/>
      <c r="P11" s="5"/>
      <c r="Q11" s="5"/>
      <c r="R11" s="5"/>
      <c r="S11" s="5"/>
      <c r="T11" s="5"/>
    </row>
    <row r="12" customFormat="false" ht="15" hidden="false" customHeight="false" outlineLevel="0" collapsed="false">
      <c r="A12" s="5"/>
      <c r="B12" s="5"/>
      <c r="C12" s="7" t="str">
        <f aca="false">IFERROR(VLOOKUP(B12,Sessions!$A$2:$C$51,3,FALSE()),"")</f>
        <v/>
      </c>
      <c r="D12" s="5"/>
      <c r="E12" s="5"/>
      <c r="F12" s="5"/>
      <c r="G12" s="5"/>
      <c r="H12" s="8" t="str">
        <f aca="false">IFERROR(G12/VLOOKUP(C12,Subjects!$A$2:$H$31,8,FALSE()),"")</f>
        <v/>
      </c>
      <c r="I12" s="5"/>
      <c r="J12" s="5"/>
      <c r="K12" s="5"/>
      <c r="L12" s="7" t="str">
        <f aca="false">IF(ISNUMBER(K12),10-K12,"")</f>
        <v/>
      </c>
      <c r="M12" s="5"/>
      <c r="N12" s="5"/>
      <c r="O12" s="5"/>
      <c r="P12" s="5"/>
      <c r="Q12" s="5"/>
      <c r="R12" s="5"/>
      <c r="S12" s="5"/>
      <c r="T12" s="5"/>
    </row>
    <row r="13" customFormat="false" ht="15" hidden="false" customHeight="false" outlineLevel="0" collapsed="false">
      <c r="A13" s="5"/>
      <c r="B13" s="5"/>
      <c r="C13" s="7" t="str">
        <f aca="false">IFERROR(VLOOKUP(B13,Sessions!$A$2:$C$51,3,FALSE()),"")</f>
        <v/>
      </c>
      <c r="D13" s="5"/>
      <c r="E13" s="5"/>
      <c r="F13" s="5"/>
      <c r="G13" s="5"/>
      <c r="H13" s="8" t="str">
        <f aca="false">IFERROR(G13/VLOOKUP(C13,Subjects!$A$2:$H$31,8,FALSE()),"")</f>
        <v/>
      </c>
      <c r="I13" s="5"/>
      <c r="J13" s="5"/>
      <c r="K13" s="5"/>
      <c r="L13" s="7" t="str">
        <f aca="false">IF(ISNUMBER(K13),10-K13,"")</f>
        <v/>
      </c>
      <c r="M13" s="5"/>
      <c r="N13" s="5"/>
      <c r="O13" s="5"/>
      <c r="P13" s="5"/>
      <c r="Q13" s="5"/>
      <c r="R13" s="5"/>
      <c r="S13" s="5"/>
      <c r="T13" s="5"/>
    </row>
    <row r="14" customFormat="false" ht="15" hidden="false" customHeight="false" outlineLevel="0" collapsed="false">
      <c r="A14" s="5"/>
      <c r="B14" s="5"/>
      <c r="C14" s="7" t="str">
        <f aca="false">IFERROR(VLOOKUP(B14,Sessions!$A$2:$C$51,3,FALSE()),"")</f>
        <v/>
      </c>
      <c r="D14" s="5"/>
      <c r="E14" s="5"/>
      <c r="F14" s="5"/>
      <c r="G14" s="5"/>
      <c r="H14" s="8" t="str">
        <f aca="false">IFERROR(G14/VLOOKUP(C14,Subjects!$A$2:$H$31,8,FALSE()),"")</f>
        <v/>
      </c>
      <c r="I14" s="5"/>
      <c r="J14" s="5"/>
      <c r="K14" s="5"/>
      <c r="L14" s="7" t="str">
        <f aca="false">IF(ISNUMBER(K14),10-K14,"")</f>
        <v/>
      </c>
      <c r="M14" s="5"/>
      <c r="N14" s="5"/>
      <c r="O14" s="5"/>
      <c r="P14" s="5"/>
      <c r="Q14" s="5"/>
      <c r="R14" s="5"/>
      <c r="S14" s="5"/>
      <c r="T14" s="5"/>
    </row>
    <row r="15" customFormat="false" ht="15" hidden="false" customHeight="false" outlineLevel="0" collapsed="false">
      <c r="A15" s="5"/>
      <c r="B15" s="5"/>
      <c r="C15" s="7" t="str">
        <f aca="false">IFERROR(VLOOKUP(B15,Sessions!$A$2:$C$51,3,FALSE()),"")</f>
        <v/>
      </c>
      <c r="D15" s="5"/>
      <c r="E15" s="5"/>
      <c r="F15" s="5"/>
      <c r="G15" s="5"/>
      <c r="H15" s="8" t="str">
        <f aca="false">IFERROR(G15/VLOOKUP(C15,Subjects!$A$2:$H$31,8,FALSE()),"")</f>
        <v/>
      </c>
      <c r="I15" s="5"/>
      <c r="J15" s="5"/>
      <c r="K15" s="5"/>
      <c r="L15" s="7" t="str">
        <f aca="false">IF(ISNUMBER(K15),10-K15,"")</f>
        <v/>
      </c>
      <c r="M15" s="5"/>
      <c r="N15" s="5"/>
      <c r="O15" s="5"/>
      <c r="P15" s="5"/>
      <c r="Q15" s="5"/>
      <c r="R15" s="5"/>
      <c r="S15" s="5"/>
      <c r="T15" s="5"/>
    </row>
    <row r="16" customFormat="false" ht="15" hidden="false" customHeight="false" outlineLevel="0" collapsed="false">
      <c r="A16" s="5"/>
      <c r="B16" s="5"/>
      <c r="C16" s="7" t="str">
        <f aca="false">IFERROR(VLOOKUP(B16,Sessions!$A$2:$C$51,3,FALSE()),"")</f>
        <v/>
      </c>
      <c r="D16" s="5"/>
      <c r="E16" s="5"/>
      <c r="F16" s="5"/>
      <c r="G16" s="5"/>
      <c r="H16" s="8" t="str">
        <f aca="false">IFERROR(G16/VLOOKUP(C16,Subjects!$A$2:$H$31,8,FALSE()),"")</f>
        <v/>
      </c>
      <c r="I16" s="5"/>
      <c r="J16" s="5"/>
      <c r="K16" s="5"/>
      <c r="L16" s="7" t="str">
        <f aca="false">IF(ISNUMBER(K16),10-K16,"")</f>
        <v/>
      </c>
      <c r="M16" s="5"/>
      <c r="N16" s="5"/>
      <c r="O16" s="5"/>
      <c r="P16" s="5"/>
      <c r="Q16" s="5"/>
      <c r="R16" s="5"/>
      <c r="S16" s="5"/>
      <c r="T16" s="5"/>
    </row>
    <row r="17" customFormat="false" ht="15" hidden="false" customHeight="false" outlineLevel="0" collapsed="false">
      <c r="A17" s="5"/>
      <c r="B17" s="5"/>
      <c r="C17" s="7" t="str">
        <f aca="false">IFERROR(VLOOKUP(B17,Sessions!$A$2:$C$51,3,FALSE()),"")</f>
        <v/>
      </c>
      <c r="D17" s="5"/>
      <c r="E17" s="5"/>
      <c r="F17" s="5"/>
      <c r="G17" s="5"/>
      <c r="H17" s="8" t="str">
        <f aca="false">IFERROR(G17/VLOOKUP(C17,Subjects!$A$2:$H$31,8,FALSE()),"")</f>
        <v/>
      </c>
      <c r="I17" s="5"/>
      <c r="J17" s="5"/>
      <c r="K17" s="5"/>
      <c r="L17" s="7" t="str">
        <f aca="false">IF(ISNUMBER(K17),10-K17,"")</f>
        <v/>
      </c>
      <c r="M17" s="5"/>
      <c r="N17" s="5"/>
      <c r="O17" s="5"/>
      <c r="P17" s="5"/>
      <c r="Q17" s="5"/>
      <c r="R17" s="5"/>
      <c r="S17" s="5"/>
      <c r="T17" s="5"/>
    </row>
    <row r="18" customFormat="false" ht="15" hidden="false" customHeight="false" outlineLevel="0" collapsed="false">
      <c r="A18" s="5"/>
      <c r="B18" s="5"/>
      <c r="C18" s="7" t="str">
        <f aca="false">IFERROR(VLOOKUP(B18,Sessions!$A$2:$C$51,3,FALSE()),"")</f>
        <v/>
      </c>
      <c r="D18" s="5"/>
      <c r="E18" s="5"/>
      <c r="F18" s="5"/>
      <c r="G18" s="5"/>
      <c r="H18" s="8" t="str">
        <f aca="false">IFERROR(G18/VLOOKUP(C18,Subjects!$A$2:$H$31,8,FALSE()),"")</f>
        <v/>
      </c>
      <c r="I18" s="5"/>
      <c r="J18" s="5"/>
      <c r="K18" s="5"/>
      <c r="L18" s="7" t="str">
        <f aca="false">IF(ISNUMBER(K18),10-K18,"")</f>
        <v/>
      </c>
      <c r="M18" s="5"/>
      <c r="N18" s="5"/>
      <c r="O18" s="5"/>
      <c r="P18" s="5"/>
      <c r="Q18" s="5"/>
      <c r="R18" s="5"/>
      <c r="S18" s="5"/>
      <c r="T18" s="5"/>
    </row>
    <row r="19" customFormat="false" ht="15" hidden="false" customHeight="false" outlineLevel="0" collapsed="false">
      <c r="A19" s="5"/>
      <c r="B19" s="5"/>
      <c r="C19" s="7" t="str">
        <f aca="false">IFERROR(VLOOKUP(B19,Sessions!$A$2:$C$51,3,FALSE()),"")</f>
        <v/>
      </c>
      <c r="D19" s="5"/>
      <c r="E19" s="5"/>
      <c r="F19" s="5"/>
      <c r="G19" s="5"/>
      <c r="H19" s="8" t="str">
        <f aca="false">IFERROR(G19/VLOOKUP(C19,Subjects!$A$2:$H$31,8,FALSE()),"")</f>
        <v/>
      </c>
      <c r="I19" s="5"/>
      <c r="J19" s="5"/>
      <c r="K19" s="5"/>
      <c r="L19" s="7" t="str">
        <f aca="false">IF(ISNUMBER(K19),10-K19,"")</f>
        <v/>
      </c>
      <c r="M19" s="5"/>
      <c r="N19" s="5"/>
      <c r="O19" s="5"/>
      <c r="P19" s="5"/>
      <c r="Q19" s="5"/>
      <c r="R19" s="5"/>
      <c r="S19" s="5"/>
      <c r="T19" s="5"/>
    </row>
    <row r="20" customFormat="false" ht="15" hidden="false" customHeight="false" outlineLevel="0" collapsed="false">
      <c r="A20" s="5"/>
      <c r="B20" s="5"/>
      <c r="C20" s="7" t="str">
        <f aca="false">IFERROR(VLOOKUP(B20,Sessions!$A$2:$C$51,3,FALSE()),"")</f>
        <v/>
      </c>
      <c r="D20" s="5"/>
      <c r="E20" s="5"/>
      <c r="F20" s="5"/>
      <c r="G20" s="5"/>
      <c r="H20" s="8" t="str">
        <f aca="false">IFERROR(G20/VLOOKUP(C20,Subjects!$A$2:$H$31,8,FALSE()),"")</f>
        <v/>
      </c>
      <c r="I20" s="5"/>
      <c r="J20" s="5"/>
      <c r="K20" s="5"/>
      <c r="L20" s="7" t="str">
        <f aca="false">IF(ISNUMBER(K20),10-K20,"")</f>
        <v/>
      </c>
      <c r="M20" s="5"/>
      <c r="N20" s="5"/>
      <c r="O20" s="5"/>
      <c r="P20" s="5"/>
      <c r="Q20" s="5"/>
      <c r="R20" s="5"/>
      <c r="S20" s="5"/>
      <c r="T20" s="5"/>
    </row>
    <row r="21" customFormat="false" ht="15" hidden="false" customHeight="false" outlineLevel="0" collapsed="false">
      <c r="A21" s="5"/>
      <c r="B21" s="5"/>
      <c r="C21" s="7" t="str">
        <f aca="false">IFERROR(VLOOKUP(B21,Sessions!$A$2:$C$51,3,FALSE()),"")</f>
        <v/>
      </c>
      <c r="D21" s="5"/>
      <c r="E21" s="5"/>
      <c r="F21" s="5"/>
      <c r="G21" s="5"/>
      <c r="H21" s="8" t="str">
        <f aca="false">IFERROR(G21/VLOOKUP(C21,Subjects!$A$2:$H$31,8,FALSE()),"")</f>
        <v/>
      </c>
      <c r="I21" s="5"/>
      <c r="J21" s="5"/>
      <c r="K21" s="5"/>
      <c r="L21" s="7" t="str">
        <f aca="false">IF(ISNUMBER(K21),10-K21,"")</f>
        <v/>
      </c>
      <c r="M21" s="5"/>
      <c r="N21" s="5"/>
      <c r="O21" s="5"/>
      <c r="P21" s="5"/>
      <c r="Q21" s="5"/>
      <c r="R21" s="5"/>
      <c r="S21" s="5"/>
      <c r="T21" s="5"/>
    </row>
    <row r="22" customFormat="false" ht="15" hidden="false" customHeight="false" outlineLevel="0" collapsed="false">
      <c r="A22" s="5"/>
      <c r="B22" s="5"/>
      <c r="C22" s="7" t="str">
        <f aca="false">IFERROR(VLOOKUP(B22,Sessions!$A$2:$C$51,3,FALSE()),"")</f>
        <v/>
      </c>
      <c r="D22" s="5"/>
      <c r="E22" s="5"/>
      <c r="F22" s="5"/>
      <c r="G22" s="5"/>
      <c r="H22" s="8" t="str">
        <f aca="false">IFERROR(G22/VLOOKUP(C22,Subjects!$A$2:$H$31,8,FALSE()),"")</f>
        <v/>
      </c>
      <c r="I22" s="5"/>
      <c r="J22" s="5"/>
      <c r="K22" s="5"/>
      <c r="L22" s="7" t="str">
        <f aca="false">IF(ISNUMBER(K22),10-K22,"")</f>
        <v/>
      </c>
      <c r="M22" s="5"/>
      <c r="N22" s="5"/>
      <c r="O22" s="5"/>
      <c r="P22" s="5"/>
      <c r="Q22" s="5"/>
      <c r="R22" s="5"/>
      <c r="S22" s="5"/>
      <c r="T22" s="5"/>
    </row>
    <row r="23" customFormat="false" ht="15" hidden="false" customHeight="false" outlineLevel="0" collapsed="false">
      <c r="A23" s="5"/>
      <c r="B23" s="5"/>
      <c r="C23" s="7" t="str">
        <f aca="false">IFERROR(VLOOKUP(B23,Sessions!$A$2:$C$51,3,FALSE()),"")</f>
        <v/>
      </c>
      <c r="D23" s="5"/>
      <c r="E23" s="5"/>
      <c r="F23" s="5"/>
      <c r="G23" s="5"/>
      <c r="H23" s="8" t="str">
        <f aca="false">IFERROR(G23/VLOOKUP(C23,Subjects!$A$2:$H$31,8,FALSE()),"")</f>
        <v/>
      </c>
      <c r="I23" s="5"/>
      <c r="J23" s="5"/>
      <c r="K23" s="5"/>
      <c r="L23" s="7" t="str">
        <f aca="false">IF(ISNUMBER(K23),10-K23,"")</f>
        <v/>
      </c>
      <c r="M23" s="5"/>
      <c r="N23" s="5"/>
      <c r="O23" s="5"/>
      <c r="P23" s="5"/>
      <c r="Q23" s="5"/>
      <c r="R23" s="5"/>
      <c r="S23" s="5"/>
      <c r="T23" s="5"/>
    </row>
    <row r="24" customFormat="false" ht="15" hidden="false" customHeight="false" outlineLevel="0" collapsed="false">
      <c r="A24" s="5"/>
      <c r="B24" s="5"/>
      <c r="C24" s="7" t="str">
        <f aca="false">IFERROR(VLOOKUP(B24,Sessions!$A$2:$C$51,3,FALSE()),"")</f>
        <v/>
      </c>
      <c r="D24" s="5"/>
      <c r="E24" s="5"/>
      <c r="F24" s="5"/>
      <c r="G24" s="5"/>
      <c r="H24" s="8" t="str">
        <f aca="false">IFERROR(G24/VLOOKUP(C24,Subjects!$A$2:$H$31,8,FALSE()),"")</f>
        <v/>
      </c>
      <c r="I24" s="5"/>
      <c r="J24" s="5"/>
      <c r="K24" s="5"/>
      <c r="L24" s="7" t="str">
        <f aca="false">IF(ISNUMBER(K24),10-K24,"")</f>
        <v/>
      </c>
      <c r="M24" s="5"/>
      <c r="N24" s="5"/>
      <c r="O24" s="5"/>
      <c r="P24" s="5"/>
      <c r="Q24" s="5"/>
      <c r="R24" s="5"/>
      <c r="S24" s="5"/>
      <c r="T24" s="5"/>
    </row>
    <row r="25" customFormat="false" ht="15" hidden="false" customHeight="false" outlineLevel="0" collapsed="false">
      <c r="A25" s="5"/>
      <c r="B25" s="5"/>
      <c r="C25" s="7" t="str">
        <f aca="false">IFERROR(VLOOKUP(B25,Sessions!$A$2:$C$51,3,FALSE()),"")</f>
        <v/>
      </c>
      <c r="D25" s="5"/>
      <c r="E25" s="5"/>
      <c r="F25" s="5"/>
      <c r="G25" s="5"/>
      <c r="H25" s="8" t="str">
        <f aca="false">IFERROR(G25/VLOOKUP(C25,Subjects!$A$2:$H$31,8,FALSE()),"")</f>
        <v/>
      </c>
      <c r="I25" s="5"/>
      <c r="J25" s="5"/>
      <c r="K25" s="5"/>
      <c r="L25" s="7" t="str">
        <f aca="false">IF(ISNUMBER(K25),10-K25,"")</f>
        <v/>
      </c>
      <c r="M25" s="5"/>
      <c r="N25" s="5"/>
      <c r="O25" s="5"/>
      <c r="P25" s="5"/>
      <c r="Q25" s="5"/>
      <c r="R25" s="5"/>
      <c r="S25" s="5"/>
      <c r="T25" s="5"/>
    </row>
    <row r="26" customFormat="false" ht="15" hidden="false" customHeight="false" outlineLevel="0" collapsed="false">
      <c r="A26" s="5"/>
      <c r="B26" s="5"/>
      <c r="C26" s="7" t="str">
        <f aca="false">IFERROR(VLOOKUP(B26,Sessions!$A$2:$C$51,3,FALSE()),"")</f>
        <v/>
      </c>
      <c r="D26" s="5"/>
      <c r="E26" s="5"/>
      <c r="F26" s="5"/>
      <c r="G26" s="5"/>
      <c r="H26" s="8" t="str">
        <f aca="false">IFERROR(G26/VLOOKUP(C26,Subjects!$A$2:$H$31,8,FALSE()),"")</f>
        <v/>
      </c>
      <c r="I26" s="5"/>
      <c r="J26" s="5"/>
      <c r="K26" s="5"/>
      <c r="L26" s="7" t="str">
        <f aca="false">IF(ISNUMBER(K26),10-K26,"")</f>
        <v/>
      </c>
      <c r="M26" s="5"/>
      <c r="N26" s="5"/>
      <c r="O26" s="5"/>
      <c r="P26" s="5"/>
      <c r="Q26" s="5"/>
      <c r="R26" s="5"/>
      <c r="S26" s="5"/>
      <c r="T26" s="5"/>
    </row>
    <row r="27" customFormat="false" ht="15" hidden="false" customHeight="false" outlineLevel="0" collapsed="false">
      <c r="A27" s="5"/>
      <c r="B27" s="5"/>
      <c r="C27" s="7" t="str">
        <f aca="false">IFERROR(VLOOKUP(B27,Sessions!$A$2:$C$51,3,FALSE()),"")</f>
        <v/>
      </c>
      <c r="D27" s="5"/>
      <c r="E27" s="5"/>
      <c r="F27" s="5"/>
      <c r="G27" s="5"/>
      <c r="H27" s="8" t="str">
        <f aca="false">IFERROR(G27/VLOOKUP(C27,Subjects!$A$2:$H$31,8,FALSE()),"")</f>
        <v/>
      </c>
      <c r="I27" s="5"/>
      <c r="J27" s="5"/>
      <c r="K27" s="5"/>
      <c r="L27" s="7" t="str">
        <f aca="false">IF(ISNUMBER(K27),10-K27,"")</f>
        <v/>
      </c>
      <c r="M27" s="5"/>
      <c r="N27" s="5"/>
      <c r="O27" s="5"/>
      <c r="P27" s="5"/>
      <c r="Q27" s="5"/>
      <c r="R27" s="5"/>
      <c r="S27" s="5"/>
      <c r="T27" s="5"/>
    </row>
    <row r="28" customFormat="false" ht="15" hidden="false" customHeight="false" outlineLevel="0" collapsed="false">
      <c r="A28" s="5"/>
      <c r="B28" s="5"/>
      <c r="C28" s="7" t="str">
        <f aca="false">IFERROR(VLOOKUP(B28,Sessions!$A$2:$C$51,3,FALSE()),"")</f>
        <v/>
      </c>
      <c r="D28" s="5"/>
      <c r="E28" s="5"/>
      <c r="F28" s="5"/>
      <c r="G28" s="5"/>
      <c r="H28" s="8" t="str">
        <f aca="false">IFERROR(G28/VLOOKUP(C28,Subjects!$A$2:$H$31,8,FALSE()),"")</f>
        <v/>
      </c>
      <c r="I28" s="5"/>
      <c r="J28" s="5"/>
      <c r="K28" s="5"/>
      <c r="L28" s="7" t="str">
        <f aca="false">IF(ISNUMBER(K28),10-K28,"")</f>
        <v/>
      </c>
      <c r="M28" s="5"/>
      <c r="N28" s="5"/>
      <c r="O28" s="5"/>
      <c r="P28" s="5"/>
      <c r="Q28" s="5"/>
      <c r="R28" s="5"/>
      <c r="S28" s="5"/>
      <c r="T28" s="5"/>
    </row>
    <row r="29" customFormat="false" ht="15" hidden="false" customHeight="false" outlineLevel="0" collapsed="false">
      <c r="A29" s="5"/>
      <c r="B29" s="5"/>
      <c r="C29" s="7" t="str">
        <f aca="false">IFERROR(VLOOKUP(B29,Sessions!$A$2:$C$51,3,FALSE()),"")</f>
        <v/>
      </c>
      <c r="D29" s="5"/>
      <c r="E29" s="5"/>
      <c r="F29" s="5"/>
      <c r="G29" s="5"/>
      <c r="H29" s="8" t="str">
        <f aca="false">IFERROR(G29/VLOOKUP(C29,Subjects!$A$2:$H$31,8,FALSE()),"")</f>
        <v/>
      </c>
      <c r="I29" s="5"/>
      <c r="J29" s="5"/>
      <c r="K29" s="5"/>
      <c r="L29" s="7" t="str">
        <f aca="false">IF(ISNUMBER(K29),10-K29,"")</f>
        <v/>
      </c>
      <c r="M29" s="5"/>
      <c r="N29" s="5"/>
      <c r="O29" s="5"/>
      <c r="P29" s="5"/>
      <c r="Q29" s="5"/>
      <c r="R29" s="5"/>
      <c r="S29" s="5"/>
      <c r="T29" s="5"/>
    </row>
    <row r="30" customFormat="false" ht="15" hidden="false" customHeight="false" outlineLevel="0" collapsed="false">
      <c r="A30" s="5"/>
      <c r="B30" s="5"/>
      <c r="C30" s="7" t="str">
        <f aca="false">IFERROR(VLOOKUP(B30,Sessions!$A$2:$C$51,3,FALSE()),"")</f>
        <v/>
      </c>
      <c r="D30" s="5"/>
      <c r="E30" s="5"/>
      <c r="F30" s="5"/>
      <c r="G30" s="5"/>
      <c r="H30" s="8" t="str">
        <f aca="false">IFERROR(G30/VLOOKUP(C30,Subjects!$A$2:$H$31,8,FALSE()),"")</f>
        <v/>
      </c>
      <c r="I30" s="5"/>
      <c r="J30" s="5"/>
      <c r="K30" s="5"/>
      <c r="L30" s="7" t="str">
        <f aca="false">IF(ISNUMBER(K30),10-K30,"")</f>
        <v/>
      </c>
      <c r="M30" s="5"/>
      <c r="N30" s="5"/>
      <c r="O30" s="5"/>
      <c r="P30" s="5"/>
      <c r="Q30" s="5"/>
      <c r="R30" s="5"/>
      <c r="S30" s="5"/>
      <c r="T30" s="5"/>
    </row>
    <row r="31" customFormat="false" ht="15" hidden="false" customHeight="false" outlineLevel="0" collapsed="false">
      <c r="A31" s="5"/>
      <c r="B31" s="5"/>
      <c r="C31" s="7" t="str">
        <f aca="false">IFERROR(VLOOKUP(B31,Sessions!$A$2:$C$51,3,FALSE()),"")</f>
        <v/>
      </c>
      <c r="D31" s="5"/>
      <c r="E31" s="5"/>
      <c r="F31" s="5"/>
      <c r="G31" s="5"/>
      <c r="H31" s="8" t="str">
        <f aca="false">IFERROR(G31/VLOOKUP(C31,Subjects!$A$2:$H$31,8,FALSE()),"")</f>
        <v/>
      </c>
      <c r="I31" s="5"/>
      <c r="J31" s="5"/>
      <c r="K31" s="5"/>
      <c r="L31" s="7" t="str">
        <f aca="false">IF(ISNUMBER(K31),10-K31,"")</f>
        <v/>
      </c>
      <c r="M31" s="5"/>
      <c r="N31" s="5"/>
      <c r="O31" s="5"/>
      <c r="P31" s="5"/>
      <c r="Q31" s="5"/>
      <c r="R31" s="5"/>
      <c r="S31" s="5"/>
      <c r="T31" s="5"/>
    </row>
    <row r="32" customFormat="false" ht="15" hidden="false" customHeight="false" outlineLevel="0" collapsed="false">
      <c r="A32" s="5"/>
      <c r="B32" s="5"/>
      <c r="C32" s="7" t="str">
        <f aca="false">IFERROR(VLOOKUP(B32,Sessions!$A$2:$C$51,3,FALSE()),"")</f>
        <v/>
      </c>
      <c r="D32" s="5"/>
      <c r="E32" s="5"/>
      <c r="F32" s="5"/>
      <c r="G32" s="5"/>
      <c r="H32" s="8" t="str">
        <f aca="false">IFERROR(G32/VLOOKUP(C32,Subjects!$A$2:$H$31,8,FALSE()),"")</f>
        <v/>
      </c>
      <c r="I32" s="5"/>
      <c r="J32" s="5"/>
      <c r="K32" s="5"/>
      <c r="L32" s="7" t="str">
        <f aca="false">IF(ISNUMBER(K32),10-K32,"")</f>
        <v/>
      </c>
      <c r="M32" s="5"/>
      <c r="N32" s="5"/>
      <c r="O32" s="5"/>
      <c r="P32" s="5"/>
      <c r="Q32" s="5"/>
      <c r="R32" s="5"/>
      <c r="S32" s="5"/>
      <c r="T32" s="5"/>
    </row>
    <row r="33" customFormat="false" ht="15" hidden="false" customHeight="false" outlineLevel="0" collapsed="false">
      <c r="A33" s="5"/>
      <c r="B33" s="5"/>
      <c r="C33" s="7" t="str">
        <f aca="false">IFERROR(VLOOKUP(B33,Sessions!$A$2:$C$51,3,FALSE()),"")</f>
        <v/>
      </c>
      <c r="D33" s="5"/>
      <c r="E33" s="5"/>
      <c r="F33" s="5"/>
      <c r="G33" s="5"/>
      <c r="H33" s="8" t="str">
        <f aca="false">IFERROR(G33/VLOOKUP(C33,Subjects!$A$2:$H$31,8,FALSE()),"")</f>
        <v/>
      </c>
      <c r="I33" s="5"/>
      <c r="J33" s="5"/>
      <c r="K33" s="5"/>
      <c r="L33" s="7" t="str">
        <f aca="false">IF(ISNUMBER(K33),10-K33,"")</f>
        <v/>
      </c>
      <c r="M33" s="5"/>
      <c r="N33" s="5"/>
      <c r="O33" s="5"/>
      <c r="P33" s="5"/>
      <c r="Q33" s="5"/>
      <c r="R33" s="5"/>
      <c r="S33" s="5"/>
      <c r="T33" s="5"/>
    </row>
    <row r="34" customFormat="false" ht="15" hidden="false" customHeight="false" outlineLevel="0" collapsed="false">
      <c r="A34" s="5"/>
      <c r="B34" s="5"/>
      <c r="C34" s="7" t="str">
        <f aca="false">IFERROR(VLOOKUP(B34,Sessions!$A$2:$C$51,3,FALSE()),"")</f>
        <v/>
      </c>
      <c r="D34" s="5"/>
      <c r="E34" s="5"/>
      <c r="F34" s="5"/>
      <c r="G34" s="5"/>
      <c r="H34" s="8" t="str">
        <f aca="false">IFERROR(G34/VLOOKUP(C34,Subjects!$A$2:$H$31,8,FALSE()),"")</f>
        <v/>
      </c>
      <c r="I34" s="5"/>
      <c r="J34" s="5"/>
      <c r="K34" s="5"/>
      <c r="L34" s="7" t="str">
        <f aca="false">IF(ISNUMBER(K34),10-K34,"")</f>
        <v/>
      </c>
      <c r="M34" s="5"/>
      <c r="N34" s="5"/>
      <c r="O34" s="5"/>
      <c r="P34" s="5"/>
      <c r="Q34" s="5"/>
      <c r="R34" s="5"/>
      <c r="S34" s="5"/>
      <c r="T34" s="5"/>
    </row>
    <row r="35" customFormat="false" ht="15" hidden="false" customHeight="false" outlineLevel="0" collapsed="false">
      <c r="A35" s="5"/>
      <c r="B35" s="5"/>
      <c r="C35" s="7" t="str">
        <f aca="false">IFERROR(VLOOKUP(B35,Sessions!$A$2:$C$51,3,FALSE()),"")</f>
        <v/>
      </c>
      <c r="D35" s="5"/>
      <c r="E35" s="5"/>
      <c r="F35" s="5"/>
      <c r="G35" s="5"/>
      <c r="H35" s="8" t="str">
        <f aca="false">IFERROR(G35/VLOOKUP(C35,Subjects!$A$2:$H$31,8,FALSE()),"")</f>
        <v/>
      </c>
      <c r="I35" s="5"/>
      <c r="J35" s="5"/>
      <c r="K35" s="5"/>
      <c r="L35" s="7" t="str">
        <f aca="false">IF(ISNUMBER(K35),10-K35,"")</f>
        <v/>
      </c>
      <c r="M35" s="5"/>
      <c r="N35" s="5"/>
      <c r="O35" s="5"/>
      <c r="P35" s="5"/>
      <c r="Q35" s="5"/>
      <c r="R35" s="5"/>
      <c r="S35" s="5"/>
      <c r="T35" s="5"/>
    </row>
    <row r="36" customFormat="false" ht="15" hidden="false" customHeight="false" outlineLevel="0" collapsed="false">
      <c r="A36" s="5"/>
      <c r="B36" s="5"/>
      <c r="C36" s="7" t="str">
        <f aca="false">IFERROR(VLOOKUP(B36,Sessions!$A$2:$C$51,3,FALSE()),"")</f>
        <v/>
      </c>
      <c r="D36" s="5"/>
      <c r="E36" s="5"/>
      <c r="F36" s="5"/>
      <c r="G36" s="5"/>
      <c r="H36" s="8" t="str">
        <f aca="false">IFERROR(G36/VLOOKUP(C36,Subjects!$A$2:$H$31,8,FALSE()),"")</f>
        <v/>
      </c>
      <c r="I36" s="5"/>
      <c r="J36" s="5"/>
      <c r="K36" s="5"/>
      <c r="L36" s="7" t="str">
        <f aca="false">IF(ISNUMBER(K36),10-K36,"")</f>
        <v/>
      </c>
      <c r="M36" s="5"/>
      <c r="N36" s="5"/>
      <c r="O36" s="5"/>
      <c r="P36" s="5"/>
      <c r="Q36" s="5"/>
      <c r="R36" s="5"/>
      <c r="S36" s="5"/>
      <c r="T36" s="5"/>
    </row>
    <row r="37" customFormat="false" ht="15" hidden="false" customHeight="false" outlineLevel="0" collapsed="false">
      <c r="A37" s="5"/>
      <c r="B37" s="5"/>
      <c r="C37" s="7" t="str">
        <f aca="false">IFERROR(VLOOKUP(B37,Sessions!$A$2:$C$51,3,FALSE()),"")</f>
        <v/>
      </c>
      <c r="D37" s="5"/>
      <c r="E37" s="5"/>
      <c r="F37" s="5"/>
      <c r="G37" s="5"/>
      <c r="H37" s="8" t="str">
        <f aca="false">IFERROR(G37/VLOOKUP(C37,Subjects!$A$2:$H$31,8,FALSE()),"")</f>
        <v/>
      </c>
      <c r="I37" s="5"/>
      <c r="J37" s="5"/>
      <c r="K37" s="5"/>
      <c r="L37" s="7" t="str">
        <f aca="false">IF(ISNUMBER(K37),10-K37,"")</f>
        <v/>
      </c>
      <c r="M37" s="5"/>
      <c r="N37" s="5"/>
      <c r="O37" s="5"/>
      <c r="P37" s="5"/>
      <c r="Q37" s="5"/>
      <c r="R37" s="5"/>
      <c r="S37" s="5"/>
      <c r="T37" s="5"/>
    </row>
    <row r="38" customFormat="false" ht="15" hidden="false" customHeight="false" outlineLevel="0" collapsed="false">
      <c r="A38" s="5"/>
      <c r="B38" s="5"/>
      <c r="C38" s="7" t="str">
        <f aca="false">IFERROR(VLOOKUP(B38,Sessions!$A$2:$C$51,3,FALSE()),"")</f>
        <v/>
      </c>
      <c r="D38" s="5"/>
      <c r="E38" s="5"/>
      <c r="F38" s="5"/>
      <c r="G38" s="5"/>
      <c r="H38" s="8" t="str">
        <f aca="false">IFERROR(G38/VLOOKUP(C38,Subjects!$A$2:$H$31,8,FALSE()),"")</f>
        <v/>
      </c>
      <c r="I38" s="5"/>
      <c r="J38" s="5"/>
      <c r="K38" s="5"/>
      <c r="L38" s="7" t="str">
        <f aca="false">IF(ISNUMBER(K38),10-K38,"")</f>
        <v/>
      </c>
      <c r="M38" s="5"/>
      <c r="N38" s="5"/>
      <c r="O38" s="5"/>
      <c r="P38" s="5"/>
      <c r="Q38" s="5"/>
      <c r="R38" s="5"/>
      <c r="S38" s="5"/>
      <c r="T38" s="5"/>
    </row>
    <row r="39" customFormat="false" ht="15" hidden="false" customHeight="false" outlineLevel="0" collapsed="false">
      <c r="A39" s="5"/>
      <c r="B39" s="5"/>
      <c r="C39" s="7" t="str">
        <f aca="false">IFERROR(VLOOKUP(B39,Sessions!$A$2:$C$51,3,FALSE()),"")</f>
        <v/>
      </c>
      <c r="D39" s="5"/>
      <c r="E39" s="5"/>
      <c r="F39" s="5"/>
      <c r="G39" s="5"/>
      <c r="H39" s="8" t="str">
        <f aca="false">IFERROR(G39/VLOOKUP(C39,Subjects!$A$2:$H$31,8,FALSE()),"")</f>
        <v/>
      </c>
      <c r="I39" s="5"/>
      <c r="J39" s="5"/>
      <c r="K39" s="5"/>
      <c r="L39" s="7" t="str">
        <f aca="false">IF(ISNUMBER(K39),10-K39,"")</f>
        <v/>
      </c>
      <c r="M39" s="5"/>
      <c r="N39" s="5"/>
      <c r="O39" s="5"/>
      <c r="P39" s="5"/>
      <c r="Q39" s="5"/>
      <c r="R39" s="5"/>
      <c r="S39" s="5"/>
      <c r="T39" s="5"/>
    </row>
    <row r="40" customFormat="false" ht="15" hidden="false" customHeight="false" outlineLevel="0" collapsed="false">
      <c r="A40" s="5"/>
      <c r="B40" s="5"/>
      <c r="C40" s="7" t="str">
        <f aca="false">IFERROR(VLOOKUP(B40,Sessions!$A$2:$C$51,3,FALSE()),"")</f>
        <v/>
      </c>
      <c r="D40" s="5"/>
      <c r="E40" s="5"/>
      <c r="F40" s="5"/>
      <c r="G40" s="5"/>
      <c r="H40" s="8" t="str">
        <f aca="false">IFERROR(G40/VLOOKUP(C40,Subjects!$A$2:$H$31,8,FALSE()),"")</f>
        <v/>
      </c>
      <c r="I40" s="5"/>
      <c r="J40" s="5"/>
      <c r="K40" s="5"/>
      <c r="L40" s="7" t="str">
        <f aca="false">IF(ISNUMBER(K40),10-K40,"")</f>
        <v/>
      </c>
      <c r="M40" s="5"/>
      <c r="N40" s="5"/>
      <c r="O40" s="5"/>
      <c r="P40" s="5"/>
      <c r="Q40" s="5"/>
      <c r="R40" s="5"/>
      <c r="S40" s="5"/>
      <c r="T40" s="5"/>
    </row>
    <row r="41" customFormat="false" ht="15" hidden="false" customHeight="false" outlineLevel="0" collapsed="false">
      <c r="A41" s="5"/>
      <c r="B41" s="5"/>
      <c r="C41" s="7" t="str">
        <f aca="false">IFERROR(VLOOKUP(B41,Sessions!$A$2:$C$51,3,FALSE()),"")</f>
        <v/>
      </c>
      <c r="D41" s="5"/>
      <c r="E41" s="5"/>
      <c r="F41" s="5"/>
      <c r="G41" s="5"/>
      <c r="H41" s="8" t="str">
        <f aca="false">IFERROR(G41/VLOOKUP(C41,Subjects!$A$2:$H$31,8,FALSE()),"")</f>
        <v/>
      </c>
      <c r="I41" s="5"/>
      <c r="J41" s="5"/>
      <c r="K41" s="5"/>
      <c r="L41" s="7" t="str">
        <f aca="false">IF(ISNUMBER(K41),10-K41,"")</f>
        <v/>
      </c>
      <c r="M41" s="5"/>
      <c r="N41" s="5"/>
      <c r="O41" s="5"/>
      <c r="P41" s="5"/>
      <c r="Q41" s="5"/>
      <c r="R41" s="5"/>
      <c r="S41" s="5"/>
      <c r="T41" s="5"/>
    </row>
    <row r="42" customFormat="false" ht="15" hidden="false" customHeight="false" outlineLevel="0" collapsed="false">
      <c r="A42" s="5"/>
      <c r="B42" s="5"/>
      <c r="C42" s="7" t="str">
        <f aca="false">IFERROR(VLOOKUP(B42,Sessions!$A$2:$C$51,3,FALSE()),"")</f>
        <v/>
      </c>
      <c r="D42" s="5"/>
      <c r="E42" s="5"/>
      <c r="F42" s="5"/>
      <c r="G42" s="5"/>
      <c r="H42" s="8" t="str">
        <f aca="false">IFERROR(G42/VLOOKUP(C42,Subjects!$A$2:$H$31,8,FALSE()),"")</f>
        <v/>
      </c>
      <c r="I42" s="5"/>
      <c r="J42" s="5"/>
      <c r="K42" s="5"/>
      <c r="L42" s="7" t="str">
        <f aca="false">IF(ISNUMBER(K42),10-K42,"")</f>
        <v/>
      </c>
      <c r="M42" s="5"/>
      <c r="N42" s="5"/>
      <c r="O42" s="5"/>
      <c r="P42" s="5"/>
      <c r="Q42" s="5"/>
      <c r="R42" s="5"/>
      <c r="S42" s="5"/>
      <c r="T42" s="5"/>
    </row>
    <row r="43" customFormat="false" ht="15" hidden="false" customHeight="false" outlineLevel="0" collapsed="false">
      <c r="A43" s="5"/>
      <c r="B43" s="5"/>
      <c r="C43" s="7" t="str">
        <f aca="false">IFERROR(VLOOKUP(B43,Sessions!$A$2:$C$51,3,FALSE()),"")</f>
        <v/>
      </c>
      <c r="D43" s="5"/>
      <c r="E43" s="5"/>
      <c r="F43" s="5"/>
      <c r="G43" s="5"/>
      <c r="H43" s="8" t="str">
        <f aca="false">IFERROR(G43/VLOOKUP(C43,Subjects!$A$2:$H$31,8,FALSE()),"")</f>
        <v/>
      </c>
      <c r="I43" s="5"/>
      <c r="J43" s="5"/>
      <c r="K43" s="5"/>
      <c r="L43" s="7" t="str">
        <f aca="false">IF(ISNUMBER(K43),10-K43,"")</f>
        <v/>
      </c>
      <c r="M43" s="5"/>
      <c r="N43" s="5"/>
      <c r="O43" s="5"/>
      <c r="P43" s="5"/>
      <c r="Q43" s="5"/>
      <c r="R43" s="5"/>
      <c r="S43" s="5"/>
      <c r="T43" s="5"/>
    </row>
    <row r="44" customFormat="false" ht="15" hidden="false" customHeight="false" outlineLevel="0" collapsed="false">
      <c r="A44" s="5"/>
      <c r="B44" s="5"/>
      <c r="C44" s="7" t="str">
        <f aca="false">IFERROR(VLOOKUP(B44,Sessions!$A$2:$C$51,3,FALSE()),"")</f>
        <v/>
      </c>
      <c r="D44" s="5"/>
      <c r="E44" s="5"/>
      <c r="F44" s="5"/>
      <c r="G44" s="5"/>
      <c r="H44" s="8" t="str">
        <f aca="false">IFERROR(G44/VLOOKUP(C44,Subjects!$A$2:$H$31,8,FALSE()),"")</f>
        <v/>
      </c>
      <c r="I44" s="5"/>
      <c r="J44" s="5"/>
      <c r="K44" s="5"/>
      <c r="L44" s="7" t="str">
        <f aca="false">IF(ISNUMBER(K44),10-K44,"")</f>
        <v/>
      </c>
      <c r="M44" s="5"/>
      <c r="N44" s="5"/>
      <c r="O44" s="5"/>
      <c r="P44" s="5"/>
      <c r="Q44" s="5"/>
      <c r="R44" s="5"/>
      <c r="S44" s="5"/>
      <c r="T44" s="5"/>
    </row>
    <row r="45" customFormat="false" ht="15" hidden="false" customHeight="false" outlineLevel="0" collapsed="false">
      <c r="A45" s="5"/>
      <c r="B45" s="5"/>
      <c r="C45" s="7" t="str">
        <f aca="false">IFERROR(VLOOKUP(B45,Sessions!$A$2:$C$51,3,FALSE()),"")</f>
        <v/>
      </c>
      <c r="D45" s="5"/>
      <c r="E45" s="5"/>
      <c r="F45" s="5"/>
      <c r="G45" s="5"/>
      <c r="H45" s="8" t="str">
        <f aca="false">IFERROR(G45/VLOOKUP(C45,Subjects!$A$2:$H$31,8,FALSE()),"")</f>
        <v/>
      </c>
      <c r="I45" s="5"/>
      <c r="J45" s="5"/>
      <c r="K45" s="5"/>
      <c r="L45" s="7" t="str">
        <f aca="false">IF(ISNUMBER(K45),10-K45,"")</f>
        <v/>
      </c>
      <c r="M45" s="5"/>
      <c r="N45" s="5"/>
      <c r="O45" s="5"/>
      <c r="P45" s="5"/>
      <c r="Q45" s="5"/>
      <c r="R45" s="5"/>
      <c r="S45" s="5"/>
      <c r="T45" s="5"/>
    </row>
    <row r="46" customFormat="false" ht="15" hidden="false" customHeight="false" outlineLevel="0" collapsed="false">
      <c r="A46" s="5"/>
      <c r="B46" s="5"/>
      <c r="C46" s="7" t="str">
        <f aca="false">IFERROR(VLOOKUP(B46,Sessions!$A$2:$C$51,3,FALSE()),"")</f>
        <v/>
      </c>
      <c r="D46" s="5"/>
      <c r="E46" s="5"/>
      <c r="F46" s="5"/>
      <c r="G46" s="5"/>
      <c r="H46" s="8" t="str">
        <f aca="false">IFERROR(G46/VLOOKUP(C46,Subjects!$A$2:$H$31,8,FALSE()),"")</f>
        <v/>
      </c>
      <c r="I46" s="5"/>
      <c r="J46" s="5"/>
      <c r="K46" s="5"/>
      <c r="L46" s="7" t="str">
        <f aca="false">IF(ISNUMBER(K46),10-K46,"")</f>
        <v/>
      </c>
      <c r="M46" s="5"/>
      <c r="N46" s="5"/>
      <c r="O46" s="5"/>
      <c r="P46" s="5"/>
      <c r="Q46" s="5"/>
      <c r="R46" s="5"/>
      <c r="S46" s="5"/>
      <c r="T46" s="5"/>
    </row>
    <row r="47" customFormat="false" ht="15" hidden="false" customHeight="false" outlineLevel="0" collapsed="false">
      <c r="A47" s="5"/>
      <c r="B47" s="5"/>
      <c r="C47" s="7" t="str">
        <f aca="false">IFERROR(VLOOKUP(B47,Sessions!$A$2:$C$51,3,FALSE()),"")</f>
        <v/>
      </c>
      <c r="D47" s="5"/>
      <c r="E47" s="5"/>
      <c r="F47" s="5"/>
      <c r="G47" s="5"/>
      <c r="H47" s="8" t="str">
        <f aca="false">IFERROR(G47/VLOOKUP(C47,Subjects!$A$2:$H$31,8,FALSE()),"")</f>
        <v/>
      </c>
      <c r="I47" s="5"/>
      <c r="J47" s="5"/>
      <c r="K47" s="5"/>
      <c r="L47" s="7" t="str">
        <f aca="false">IF(ISNUMBER(K47),10-K47,"")</f>
        <v/>
      </c>
      <c r="M47" s="5"/>
      <c r="N47" s="5"/>
      <c r="O47" s="5"/>
      <c r="P47" s="5"/>
      <c r="Q47" s="5"/>
      <c r="R47" s="5"/>
      <c r="S47" s="5"/>
      <c r="T47" s="5"/>
    </row>
    <row r="48" customFormat="false" ht="15" hidden="false" customHeight="false" outlineLevel="0" collapsed="false">
      <c r="A48" s="5"/>
      <c r="B48" s="5"/>
      <c r="C48" s="7" t="str">
        <f aca="false">IFERROR(VLOOKUP(B48,Sessions!$A$2:$C$51,3,FALSE()),"")</f>
        <v/>
      </c>
      <c r="D48" s="5"/>
      <c r="E48" s="5"/>
      <c r="F48" s="5"/>
      <c r="G48" s="5"/>
      <c r="H48" s="8" t="str">
        <f aca="false">IFERROR(G48/VLOOKUP(C48,Subjects!$A$2:$H$31,8,FALSE()),"")</f>
        <v/>
      </c>
      <c r="I48" s="5"/>
      <c r="J48" s="5"/>
      <c r="K48" s="5"/>
      <c r="L48" s="7" t="str">
        <f aca="false">IF(ISNUMBER(K48),10-K48,"")</f>
        <v/>
      </c>
      <c r="M48" s="5"/>
      <c r="N48" s="5"/>
      <c r="O48" s="5"/>
      <c r="P48" s="5"/>
      <c r="Q48" s="5"/>
      <c r="R48" s="5"/>
      <c r="S48" s="5"/>
      <c r="T48" s="5"/>
    </row>
    <row r="49" customFormat="false" ht="15" hidden="false" customHeight="false" outlineLevel="0" collapsed="false">
      <c r="A49" s="5"/>
      <c r="B49" s="5"/>
      <c r="C49" s="7" t="str">
        <f aca="false">IFERROR(VLOOKUP(B49,Sessions!$A$2:$C$51,3,FALSE()),"")</f>
        <v/>
      </c>
      <c r="D49" s="5"/>
      <c r="E49" s="5"/>
      <c r="F49" s="5"/>
      <c r="G49" s="5"/>
      <c r="H49" s="8" t="str">
        <f aca="false">IFERROR(G49/VLOOKUP(C49,Subjects!$A$2:$H$31,8,FALSE()),"")</f>
        <v/>
      </c>
      <c r="I49" s="5"/>
      <c r="J49" s="5"/>
      <c r="K49" s="5"/>
      <c r="L49" s="7" t="str">
        <f aca="false">IF(ISNUMBER(K49),10-K49,"")</f>
        <v/>
      </c>
      <c r="M49" s="5"/>
      <c r="N49" s="5"/>
      <c r="O49" s="5"/>
      <c r="P49" s="5"/>
      <c r="Q49" s="5"/>
      <c r="R49" s="5"/>
      <c r="S49" s="5"/>
      <c r="T49" s="5"/>
    </row>
    <row r="50" customFormat="false" ht="15" hidden="false" customHeight="false" outlineLevel="0" collapsed="false">
      <c r="A50" s="5"/>
      <c r="B50" s="5"/>
      <c r="C50" s="7" t="str">
        <f aca="false">IFERROR(VLOOKUP(B50,Sessions!$A$2:$C$51,3,FALSE()),"")</f>
        <v/>
      </c>
      <c r="D50" s="5"/>
      <c r="E50" s="5"/>
      <c r="F50" s="5"/>
      <c r="G50" s="5"/>
      <c r="H50" s="8" t="str">
        <f aca="false">IFERROR(G50/VLOOKUP(C50,Subjects!$A$2:$H$31,8,FALSE()),"")</f>
        <v/>
      </c>
      <c r="I50" s="5"/>
      <c r="J50" s="5"/>
      <c r="K50" s="5"/>
      <c r="L50" s="7" t="str">
        <f aca="false">IF(ISNUMBER(K50),10-K50,"")</f>
        <v/>
      </c>
      <c r="M50" s="5"/>
      <c r="N50" s="5"/>
      <c r="O50" s="5"/>
      <c r="P50" s="5"/>
      <c r="Q50" s="5"/>
      <c r="R50" s="5"/>
      <c r="S50" s="5"/>
      <c r="T50" s="5"/>
    </row>
    <row r="51" customFormat="false" ht="15" hidden="false" customHeight="false" outlineLevel="0" collapsed="false">
      <c r="A51" s="5"/>
      <c r="B51" s="5"/>
      <c r="C51" s="7" t="str">
        <f aca="false">IFERROR(VLOOKUP(B51,Sessions!$A$2:$C$51,3,FALSE()),"")</f>
        <v/>
      </c>
      <c r="D51" s="5"/>
      <c r="E51" s="5"/>
      <c r="F51" s="5"/>
      <c r="G51" s="5"/>
      <c r="H51" s="8" t="str">
        <f aca="false">IFERROR(G51/VLOOKUP(C51,Subjects!$A$2:$H$31,8,FALSE()),"")</f>
        <v/>
      </c>
      <c r="I51" s="5"/>
      <c r="J51" s="5"/>
      <c r="K51" s="5"/>
      <c r="L51" s="7" t="str">
        <f aca="false">IF(ISNUMBER(K51),10-K51,"")</f>
        <v/>
      </c>
      <c r="M51" s="5"/>
      <c r="N51" s="5"/>
      <c r="O51" s="5"/>
      <c r="P51" s="5"/>
      <c r="Q51" s="5"/>
      <c r="R51" s="5"/>
      <c r="S51" s="5"/>
      <c r="T51" s="5"/>
    </row>
    <row r="52" customFormat="false" ht="15" hidden="false" customHeight="false" outlineLevel="0" collapsed="false">
      <c r="A52" s="5"/>
      <c r="B52" s="5"/>
      <c r="C52" s="7" t="str">
        <f aca="false">IFERROR(VLOOKUP(B52,Sessions!$A$2:$C$51,3,FALSE()),"")</f>
        <v/>
      </c>
      <c r="D52" s="5"/>
      <c r="E52" s="5"/>
      <c r="F52" s="5"/>
      <c r="G52" s="5"/>
      <c r="H52" s="8" t="str">
        <f aca="false">IFERROR(G52/VLOOKUP(C52,Subjects!$A$2:$H$31,8,FALSE()),"")</f>
        <v/>
      </c>
      <c r="I52" s="5"/>
      <c r="J52" s="5"/>
      <c r="K52" s="5"/>
      <c r="L52" s="7" t="str">
        <f aca="false">IF(ISNUMBER(K52),10-K52,"")</f>
        <v/>
      </c>
      <c r="M52" s="5"/>
      <c r="N52" s="5"/>
      <c r="O52" s="5"/>
      <c r="P52" s="5"/>
      <c r="Q52" s="5"/>
      <c r="R52" s="5"/>
      <c r="S52" s="5"/>
      <c r="T52" s="5"/>
    </row>
    <row r="53" customFormat="false" ht="15" hidden="false" customHeight="false" outlineLevel="0" collapsed="false">
      <c r="A53" s="5"/>
      <c r="B53" s="5"/>
      <c r="C53" s="7" t="str">
        <f aca="false">IFERROR(VLOOKUP(B53,Sessions!$A$2:$C$51,3,FALSE()),"")</f>
        <v/>
      </c>
      <c r="D53" s="5"/>
      <c r="E53" s="5"/>
      <c r="F53" s="5"/>
      <c r="G53" s="5"/>
      <c r="H53" s="8" t="str">
        <f aca="false">IFERROR(G53/VLOOKUP(C53,Subjects!$A$2:$H$31,8,FALSE()),"")</f>
        <v/>
      </c>
      <c r="I53" s="5"/>
      <c r="J53" s="5"/>
      <c r="K53" s="5"/>
      <c r="L53" s="7" t="str">
        <f aca="false">IF(ISNUMBER(K53),10-K53,"")</f>
        <v/>
      </c>
      <c r="M53" s="5"/>
      <c r="N53" s="5"/>
      <c r="O53" s="5"/>
      <c r="P53" s="5"/>
      <c r="Q53" s="5"/>
      <c r="R53" s="5"/>
      <c r="S53" s="5"/>
      <c r="T53" s="5"/>
    </row>
    <row r="54" customFormat="false" ht="15" hidden="false" customHeight="false" outlineLevel="0" collapsed="false">
      <c r="A54" s="5"/>
      <c r="B54" s="5"/>
      <c r="C54" s="7" t="str">
        <f aca="false">IFERROR(VLOOKUP(B54,Sessions!$A$2:$C$51,3,FALSE()),"")</f>
        <v/>
      </c>
      <c r="D54" s="5"/>
      <c r="E54" s="5"/>
      <c r="F54" s="5"/>
      <c r="G54" s="5"/>
      <c r="H54" s="8" t="str">
        <f aca="false">IFERROR(G54/VLOOKUP(C54,Subjects!$A$2:$H$31,8,FALSE()),"")</f>
        <v/>
      </c>
      <c r="I54" s="5"/>
      <c r="J54" s="5"/>
      <c r="K54" s="5"/>
      <c r="L54" s="7" t="str">
        <f aca="false">IF(ISNUMBER(K54),10-K54,"")</f>
        <v/>
      </c>
      <c r="M54" s="5"/>
      <c r="N54" s="5"/>
      <c r="O54" s="5"/>
      <c r="P54" s="5"/>
      <c r="Q54" s="5"/>
      <c r="R54" s="5"/>
      <c r="S54" s="5"/>
      <c r="T54" s="5"/>
    </row>
    <row r="55" customFormat="false" ht="15" hidden="false" customHeight="false" outlineLevel="0" collapsed="false">
      <c r="A55" s="5"/>
      <c r="B55" s="5"/>
      <c r="C55" s="7" t="str">
        <f aca="false">IFERROR(VLOOKUP(B55,Sessions!$A$2:$C$51,3,FALSE()),"")</f>
        <v/>
      </c>
      <c r="D55" s="5"/>
      <c r="E55" s="5"/>
      <c r="F55" s="5"/>
      <c r="G55" s="5"/>
      <c r="H55" s="8" t="str">
        <f aca="false">IFERROR(G55/VLOOKUP(C55,Subjects!$A$2:$H$31,8,FALSE()),"")</f>
        <v/>
      </c>
      <c r="I55" s="5"/>
      <c r="J55" s="5"/>
      <c r="K55" s="5"/>
      <c r="L55" s="7" t="str">
        <f aca="false">IF(ISNUMBER(K55),10-K55,"")</f>
        <v/>
      </c>
      <c r="M55" s="5"/>
      <c r="N55" s="5"/>
      <c r="O55" s="5"/>
      <c r="P55" s="5"/>
      <c r="Q55" s="5"/>
      <c r="R55" s="5"/>
      <c r="S55" s="5"/>
      <c r="T55" s="5"/>
    </row>
    <row r="56" customFormat="false" ht="15" hidden="false" customHeight="false" outlineLevel="0" collapsed="false">
      <c r="A56" s="5"/>
      <c r="B56" s="5"/>
      <c r="C56" s="7" t="str">
        <f aca="false">IFERROR(VLOOKUP(B56,Sessions!$A$2:$C$51,3,FALSE()),"")</f>
        <v/>
      </c>
      <c r="D56" s="5"/>
      <c r="E56" s="5"/>
      <c r="F56" s="5"/>
      <c r="G56" s="5"/>
      <c r="H56" s="8" t="str">
        <f aca="false">IFERROR(G56/VLOOKUP(C56,Subjects!$A$2:$H$31,8,FALSE()),"")</f>
        <v/>
      </c>
      <c r="I56" s="5"/>
      <c r="J56" s="5"/>
      <c r="K56" s="5"/>
      <c r="L56" s="7" t="str">
        <f aca="false">IF(ISNUMBER(K56),10-K56,"")</f>
        <v/>
      </c>
      <c r="M56" s="5"/>
      <c r="N56" s="5"/>
      <c r="O56" s="5"/>
      <c r="P56" s="5"/>
      <c r="Q56" s="5"/>
      <c r="R56" s="5"/>
      <c r="S56" s="5"/>
      <c r="T56" s="5"/>
    </row>
    <row r="57" customFormat="false" ht="15" hidden="false" customHeight="false" outlineLevel="0" collapsed="false">
      <c r="A57" s="5"/>
      <c r="B57" s="5"/>
      <c r="C57" s="7" t="str">
        <f aca="false">IFERROR(VLOOKUP(B57,Sessions!$A$2:$C$51,3,FALSE()),"")</f>
        <v/>
      </c>
      <c r="D57" s="5"/>
      <c r="E57" s="5"/>
      <c r="F57" s="5"/>
      <c r="G57" s="5"/>
      <c r="H57" s="8" t="str">
        <f aca="false">IFERROR(G57/VLOOKUP(C57,Subjects!$A$2:$H$31,8,FALSE()),"")</f>
        <v/>
      </c>
      <c r="I57" s="5"/>
      <c r="J57" s="5"/>
      <c r="K57" s="5"/>
      <c r="L57" s="7" t="str">
        <f aca="false">IF(ISNUMBER(K57),10-K57,"")</f>
        <v/>
      </c>
      <c r="M57" s="5"/>
      <c r="N57" s="5"/>
      <c r="O57" s="5"/>
      <c r="P57" s="5"/>
      <c r="Q57" s="5"/>
      <c r="R57" s="5"/>
      <c r="S57" s="5"/>
      <c r="T57" s="5"/>
    </row>
    <row r="58" customFormat="false" ht="15" hidden="false" customHeight="false" outlineLevel="0" collapsed="false">
      <c r="A58" s="5"/>
      <c r="B58" s="5"/>
      <c r="C58" s="7" t="str">
        <f aca="false">IFERROR(VLOOKUP(B58,Sessions!$A$2:$C$51,3,FALSE()),"")</f>
        <v/>
      </c>
      <c r="D58" s="5"/>
      <c r="E58" s="5"/>
      <c r="F58" s="5"/>
      <c r="G58" s="5"/>
      <c r="H58" s="8" t="str">
        <f aca="false">IFERROR(G58/VLOOKUP(C58,Subjects!$A$2:$H$31,8,FALSE()),"")</f>
        <v/>
      </c>
      <c r="I58" s="5"/>
      <c r="J58" s="5"/>
      <c r="K58" s="5"/>
      <c r="L58" s="7" t="str">
        <f aca="false">IF(ISNUMBER(K58),10-K58,"")</f>
        <v/>
      </c>
      <c r="M58" s="5"/>
      <c r="N58" s="5"/>
      <c r="O58" s="5"/>
      <c r="P58" s="5"/>
      <c r="Q58" s="5"/>
      <c r="R58" s="5"/>
      <c r="S58" s="5"/>
      <c r="T58" s="5"/>
    </row>
    <row r="59" customFormat="false" ht="15" hidden="false" customHeight="false" outlineLevel="0" collapsed="false">
      <c r="A59" s="5"/>
      <c r="B59" s="5"/>
      <c r="C59" s="7" t="str">
        <f aca="false">IFERROR(VLOOKUP(B59,Sessions!$A$2:$C$51,3,FALSE()),"")</f>
        <v/>
      </c>
      <c r="D59" s="5"/>
      <c r="E59" s="5"/>
      <c r="F59" s="5"/>
      <c r="G59" s="5"/>
      <c r="H59" s="8" t="str">
        <f aca="false">IFERROR(G59/VLOOKUP(C59,Subjects!$A$2:$H$31,8,FALSE()),"")</f>
        <v/>
      </c>
      <c r="I59" s="5"/>
      <c r="J59" s="5"/>
      <c r="K59" s="5"/>
      <c r="L59" s="7" t="str">
        <f aca="false">IF(ISNUMBER(K59),10-K59,"")</f>
        <v/>
      </c>
      <c r="M59" s="5"/>
      <c r="N59" s="5"/>
      <c r="O59" s="5"/>
      <c r="P59" s="5"/>
      <c r="Q59" s="5"/>
      <c r="R59" s="5"/>
      <c r="S59" s="5"/>
      <c r="T59" s="5"/>
    </row>
    <row r="60" customFormat="false" ht="15" hidden="false" customHeight="false" outlineLevel="0" collapsed="false">
      <c r="A60" s="5"/>
      <c r="B60" s="5"/>
      <c r="C60" s="7" t="str">
        <f aca="false">IFERROR(VLOOKUP(B60,Sessions!$A$2:$C$51,3,FALSE()),"")</f>
        <v/>
      </c>
      <c r="D60" s="5"/>
      <c r="E60" s="5"/>
      <c r="F60" s="5"/>
      <c r="G60" s="5"/>
      <c r="H60" s="8" t="str">
        <f aca="false">IFERROR(G60/VLOOKUP(C60,Subjects!$A$2:$H$31,8,FALSE()),"")</f>
        <v/>
      </c>
      <c r="I60" s="5"/>
      <c r="J60" s="5"/>
      <c r="K60" s="5"/>
      <c r="L60" s="7" t="str">
        <f aca="false">IF(ISNUMBER(K60),10-K60,"")</f>
        <v/>
      </c>
      <c r="M60" s="5"/>
      <c r="N60" s="5"/>
      <c r="O60" s="5"/>
      <c r="P60" s="5"/>
      <c r="Q60" s="5"/>
      <c r="R60" s="5"/>
      <c r="S60" s="5"/>
      <c r="T60" s="5"/>
    </row>
    <row r="61" customFormat="false" ht="15" hidden="false" customHeight="false" outlineLevel="0" collapsed="false">
      <c r="A61" s="5"/>
      <c r="B61" s="5"/>
      <c r="C61" s="7" t="str">
        <f aca="false">IFERROR(VLOOKUP(B61,Sessions!$A$2:$C$51,3,FALSE()),"")</f>
        <v/>
      </c>
      <c r="D61" s="5"/>
      <c r="E61" s="5"/>
      <c r="F61" s="5"/>
      <c r="G61" s="5"/>
      <c r="H61" s="8" t="str">
        <f aca="false">IFERROR(G61/VLOOKUP(C61,Subjects!$A$2:$H$31,8,FALSE()),"")</f>
        <v/>
      </c>
      <c r="I61" s="5"/>
      <c r="J61" s="5"/>
      <c r="K61" s="5"/>
      <c r="L61" s="7" t="str">
        <f aca="false">IF(ISNUMBER(K61),10-K61,"")</f>
        <v/>
      </c>
      <c r="M61" s="5"/>
      <c r="N61" s="5"/>
      <c r="O61" s="5"/>
      <c r="P61" s="5"/>
      <c r="Q61" s="5"/>
      <c r="R61" s="5"/>
      <c r="S61" s="5"/>
      <c r="T61" s="5"/>
    </row>
    <row r="62" customFormat="false" ht="15" hidden="false" customHeight="false" outlineLevel="0" collapsed="false">
      <c r="A62" s="5"/>
      <c r="B62" s="5"/>
      <c r="C62" s="7" t="str">
        <f aca="false">IFERROR(VLOOKUP(B62,Sessions!$A$2:$C$51,3,FALSE()),"")</f>
        <v/>
      </c>
      <c r="D62" s="5"/>
      <c r="E62" s="5"/>
      <c r="F62" s="5"/>
      <c r="G62" s="5"/>
      <c r="H62" s="8" t="str">
        <f aca="false">IFERROR(G62/VLOOKUP(C62,Subjects!$A$2:$H$31,8,FALSE()),"")</f>
        <v/>
      </c>
      <c r="I62" s="5"/>
      <c r="J62" s="5"/>
      <c r="K62" s="5"/>
      <c r="L62" s="7" t="str">
        <f aca="false">IF(ISNUMBER(K62),10-K62,"")</f>
        <v/>
      </c>
      <c r="M62" s="5"/>
      <c r="N62" s="5"/>
      <c r="O62" s="5"/>
      <c r="P62" s="5"/>
      <c r="Q62" s="5"/>
      <c r="R62" s="5"/>
      <c r="S62" s="5"/>
      <c r="T62" s="5"/>
    </row>
    <row r="63" customFormat="false" ht="15" hidden="false" customHeight="false" outlineLevel="0" collapsed="false">
      <c r="A63" s="5"/>
      <c r="B63" s="5"/>
      <c r="C63" s="7" t="str">
        <f aca="false">IFERROR(VLOOKUP(B63,Sessions!$A$2:$C$51,3,FALSE()),"")</f>
        <v/>
      </c>
      <c r="D63" s="5"/>
      <c r="E63" s="5"/>
      <c r="F63" s="5"/>
      <c r="G63" s="5"/>
      <c r="H63" s="8" t="str">
        <f aca="false">IFERROR(G63/VLOOKUP(C63,Subjects!$A$2:$H$31,8,FALSE()),"")</f>
        <v/>
      </c>
      <c r="I63" s="5"/>
      <c r="J63" s="5"/>
      <c r="K63" s="5"/>
      <c r="L63" s="7" t="str">
        <f aca="false">IF(ISNUMBER(K63),10-K63,"")</f>
        <v/>
      </c>
      <c r="M63" s="5"/>
      <c r="N63" s="5"/>
      <c r="O63" s="5"/>
      <c r="P63" s="5"/>
      <c r="Q63" s="5"/>
      <c r="R63" s="5"/>
      <c r="S63" s="5"/>
      <c r="T63" s="5"/>
    </row>
    <row r="64" customFormat="false" ht="15" hidden="false" customHeight="false" outlineLevel="0" collapsed="false">
      <c r="A64" s="5"/>
      <c r="B64" s="5"/>
      <c r="C64" s="7" t="str">
        <f aca="false">IFERROR(VLOOKUP(B64,Sessions!$A$2:$C$51,3,FALSE()),"")</f>
        <v/>
      </c>
      <c r="D64" s="5"/>
      <c r="E64" s="5"/>
      <c r="F64" s="5"/>
      <c r="G64" s="5"/>
      <c r="H64" s="8" t="str">
        <f aca="false">IFERROR(G64/VLOOKUP(C64,Subjects!$A$2:$H$31,8,FALSE()),"")</f>
        <v/>
      </c>
      <c r="I64" s="5"/>
      <c r="J64" s="5"/>
      <c r="K64" s="5"/>
      <c r="L64" s="7" t="str">
        <f aca="false">IF(ISNUMBER(K64),10-K64,"")</f>
        <v/>
      </c>
      <c r="M64" s="5"/>
      <c r="N64" s="5"/>
      <c r="O64" s="5"/>
      <c r="P64" s="5"/>
      <c r="Q64" s="5"/>
      <c r="R64" s="5"/>
      <c r="S64" s="5"/>
      <c r="T64" s="5"/>
    </row>
    <row r="65" customFormat="false" ht="15" hidden="false" customHeight="false" outlineLevel="0" collapsed="false">
      <c r="A65" s="5"/>
      <c r="B65" s="5"/>
      <c r="C65" s="7" t="str">
        <f aca="false">IFERROR(VLOOKUP(B65,Sessions!$A$2:$C$51,3,FALSE()),"")</f>
        <v/>
      </c>
      <c r="D65" s="5"/>
      <c r="E65" s="5"/>
      <c r="F65" s="5"/>
      <c r="G65" s="5"/>
      <c r="H65" s="8" t="str">
        <f aca="false">IFERROR(G65/VLOOKUP(C65,Subjects!$A$2:$H$31,8,FALSE()),"")</f>
        <v/>
      </c>
      <c r="I65" s="5"/>
      <c r="J65" s="5"/>
      <c r="K65" s="5"/>
      <c r="L65" s="7" t="str">
        <f aca="false">IF(ISNUMBER(K65),10-K65,"")</f>
        <v/>
      </c>
      <c r="M65" s="5"/>
      <c r="N65" s="5"/>
      <c r="O65" s="5"/>
      <c r="P65" s="5"/>
      <c r="Q65" s="5"/>
      <c r="R65" s="5"/>
      <c r="S65" s="5"/>
      <c r="T65" s="5"/>
    </row>
    <row r="66" customFormat="false" ht="15" hidden="false" customHeight="false" outlineLevel="0" collapsed="false">
      <c r="A66" s="5"/>
      <c r="B66" s="5"/>
      <c r="C66" s="7" t="str">
        <f aca="false">IFERROR(VLOOKUP(B66,Sessions!$A$2:$C$51,3,FALSE()),"")</f>
        <v/>
      </c>
      <c r="D66" s="5"/>
      <c r="E66" s="5"/>
      <c r="F66" s="5"/>
      <c r="G66" s="5"/>
      <c r="H66" s="8" t="str">
        <f aca="false">IFERROR(G66/VLOOKUP(C66,Subjects!$A$2:$H$31,8,FALSE()),"")</f>
        <v/>
      </c>
      <c r="I66" s="5"/>
      <c r="J66" s="5"/>
      <c r="K66" s="5"/>
      <c r="L66" s="7" t="str">
        <f aca="false">IF(ISNUMBER(K66),10-K66,"")</f>
        <v/>
      </c>
      <c r="M66" s="5"/>
      <c r="N66" s="5"/>
      <c r="O66" s="5"/>
      <c r="P66" s="5"/>
      <c r="Q66" s="5"/>
      <c r="R66" s="5"/>
      <c r="S66" s="5"/>
      <c r="T66" s="5"/>
    </row>
    <row r="67" customFormat="false" ht="15" hidden="false" customHeight="false" outlineLevel="0" collapsed="false">
      <c r="A67" s="5"/>
      <c r="B67" s="5"/>
      <c r="C67" s="7" t="str">
        <f aca="false">IFERROR(VLOOKUP(B67,Sessions!$A$2:$C$51,3,FALSE()),"")</f>
        <v/>
      </c>
      <c r="D67" s="5"/>
      <c r="E67" s="5"/>
      <c r="F67" s="5"/>
      <c r="G67" s="5"/>
      <c r="H67" s="8" t="str">
        <f aca="false">IFERROR(G67/VLOOKUP(C67,Subjects!$A$2:$H$31,8,FALSE()),"")</f>
        <v/>
      </c>
      <c r="I67" s="5"/>
      <c r="J67" s="5"/>
      <c r="K67" s="5"/>
      <c r="L67" s="7" t="str">
        <f aca="false">IF(ISNUMBER(K67),10-K67,"")</f>
        <v/>
      </c>
      <c r="M67" s="5"/>
      <c r="N67" s="5"/>
      <c r="O67" s="5"/>
      <c r="P67" s="5"/>
      <c r="Q67" s="5"/>
      <c r="R67" s="5"/>
      <c r="S67" s="5"/>
      <c r="T67" s="5"/>
    </row>
    <row r="68" customFormat="false" ht="15" hidden="false" customHeight="false" outlineLevel="0" collapsed="false">
      <c r="A68" s="5"/>
      <c r="B68" s="5"/>
      <c r="C68" s="7" t="str">
        <f aca="false">IFERROR(VLOOKUP(B68,Sessions!$A$2:$C$51,3,FALSE()),"")</f>
        <v/>
      </c>
      <c r="D68" s="5"/>
      <c r="E68" s="5"/>
      <c r="F68" s="5"/>
      <c r="G68" s="5"/>
      <c r="H68" s="8" t="str">
        <f aca="false">IFERROR(G68/VLOOKUP(C68,Subjects!$A$2:$H$31,8,FALSE()),"")</f>
        <v/>
      </c>
      <c r="I68" s="5"/>
      <c r="J68" s="5"/>
      <c r="K68" s="5"/>
      <c r="L68" s="7" t="str">
        <f aca="false">IF(ISNUMBER(K68),10-K68,"")</f>
        <v/>
      </c>
      <c r="M68" s="5"/>
      <c r="N68" s="5"/>
      <c r="O68" s="5"/>
      <c r="P68" s="5"/>
      <c r="Q68" s="5"/>
      <c r="R68" s="5"/>
      <c r="S68" s="5"/>
      <c r="T68" s="5"/>
    </row>
    <row r="69" customFormat="false" ht="15" hidden="false" customHeight="false" outlineLevel="0" collapsed="false">
      <c r="A69" s="5"/>
      <c r="B69" s="5"/>
      <c r="C69" s="7" t="str">
        <f aca="false">IFERROR(VLOOKUP(B69,Sessions!$A$2:$C$51,3,FALSE()),"")</f>
        <v/>
      </c>
      <c r="D69" s="5"/>
      <c r="E69" s="5"/>
      <c r="F69" s="5"/>
      <c r="G69" s="5"/>
      <c r="H69" s="8" t="str">
        <f aca="false">IFERROR(G69/VLOOKUP(C69,Subjects!$A$2:$H$31,8,FALSE()),"")</f>
        <v/>
      </c>
      <c r="I69" s="5"/>
      <c r="J69" s="5"/>
      <c r="K69" s="5"/>
      <c r="L69" s="7" t="str">
        <f aca="false">IF(ISNUMBER(K69),10-K69,"")</f>
        <v/>
      </c>
      <c r="M69" s="5"/>
      <c r="N69" s="5"/>
      <c r="O69" s="5"/>
      <c r="P69" s="5"/>
      <c r="Q69" s="5"/>
      <c r="R69" s="5"/>
      <c r="S69" s="5"/>
      <c r="T69" s="5"/>
    </row>
    <row r="70" customFormat="false" ht="15" hidden="false" customHeight="false" outlineLevel="0" collapsed="false">
      <c r="A70" s="5"/>
      <c r="B70" s="5"/>
      <c r="C70" s="7" t="str">
        <f aca="false">IFERROR(VLOOKUP(B70,Sessions!$A$2:$C$51,3,FALSE()),"")</f>
        <v/>
      </c>
      <c r="D70" s="5"/>
      <c r="E70" s="5"/>
      <c r="F70" s="5"/>
      <c r="G70" s="5"/>
      <c r="H70" s="8" t="str">
        <f aca="false">IFERROR(G70/VLOOKUP(C70,Subjects!$A$2:$H$31,8,FALSE()),"")</f>
        <v/>
      </c>
      <c r="I70" s="5"/>
      <c r="J70" s="5"/>
      <c r="K70" s="5"/>
      <c r="L70" s="7" t="str">
        <f aca="false">IF(ISNUMBER(K70),10-K70,"")</f>
        <v/>
      </c>
      <c r="M70" s="5"/>
      <c r="N70" s="5"/>
      <c r="O70" s="5"/>
      <c r="P70" s="5"/>
      <c r="Q70" s="5"/>
      <c r="R70" s="5"/>
      <c r="S70" s="5"/>
      <c r="T70" s="5"/>
    </row>
    <row r="71" customFormat="false" ht="15" hidden="false" customHeight="false" outlineLevel="0" collapsed="false">
      <c r="A71" s="5"/>
      <c r="B71" s="5"/>
      <c r="C71" s="7" t="str">
        <f aca="false">IFERROR(VLOOKUP(B71,Sessions!$A$2:$C$51,3,FALSE()),"")</f>
        <v/>
      </c>
      <c r="D71" s="5"/>
      <c r="E71" s="5"/>
      <c r="F71" s="5"/>
      <c r="G71" s="5"/>
      <c r="H71" s="8" t="str">
        <f aca="false">IFERROR(G71/VLOOKUP(C71,Subjects!$A$2:$H$31,8,FALSE()),"")</f>
        <v/>
      </c>
      <c r="I71" s="5"/>
      <c r="J71" s="5"/>
      <c r="K71" s="5"/>
      <c r="L71" s="7" t="str">
        <f aca="false">IF(ISNUMBER(K71),10-K71,"")</f>
        <v/>
      </c>
      <c r="M71" s="5"/>
      <c r="N71" s="5"/>
      <c r="O71" s="5"/>
      <c r="P71" s="5"/>
      <c r="Q71" s="5"/>
      <c r="R71" s="5"/>
      <c r="S71" s="5"/>
      <c r="T71" s="5"/>
    </row>
    <row r="72" customFormat="false" ht="15" hidden="false" customHeight="false" outlineLevel="0" collapsed="false">
      <c r="A72" s="5"/>
      <c r="B72" s="5"/>
      <c r="C72" s="7" t="str">
        <f aca="false">IFERROR(VLOOKUP(B72,Sessions!$A$2:$C$51,3,FALSE()),"")</f>
        <v/>
      </c>
      <c r="D72" s="5"/>
      <c r="E72" s="5"/>
      <c r="F72" s="5"/>
      <c r="G72" s="5"/>
      <c r="H72" s="8" t="str">
        <f aca="false">IFERROR(G72/VLOOKUP(C72,Subjects!$A$2:$H$31,8,FALSE()),"")</f>
        <v/>
      </c>
      <c r="I72" s="5"/>
      <c r="J72" s="5"/>
      <c r="K72" s="5"/>
      <c r="L72" s="7" t="str">
        <f aca="false">IF(ISNUMBER(K72),10-K72,"")</f>
        <v/>
      </c>
      <c r="M72" s="5"/>
      <c r="N72" s="5"/>
      <c r="O72" s="5"/>
      <c r="P72" s="5"/>
      <c r="Q72" s="5"/>
      <c r="R72" s="5"/>
      <c r="S72" s="5"/>
      <c r="T72" s="5"/>
    </row>
    <row r="73" customFormat="false" ht="15" hidden="false" customHeight="false" outlineLevel="0" collapsed="false">
      <c r="A73" s="5"/>
      <c r="B73" s="5"/>
      <c r="C73" s="7" t="str">
        <f aca="false">IFERROR(VLOOKUP(B73,Sessions!$A$2:$C$51,3,FALSE()),"")</f>
        <v/>
      </c>
      <c r="D73" s="5"/>
      <c r="E73" s="5"/>
      <c r="F73" s="5"/>
      <c r="G73" s="5"/>
      <c r="H73" s="8" t="str">
        <f aca="false">IFERROR(G73/VLOOKUP(C73,Subjects!$A$2:$H$31,8,FALSE()),"")</f>
        <v/>
      </c>
      <c r="I73" s="5"/>
      <c r="J73" s="5"/>
      <c r="K73" s="5"/>
      <c r="L73" s="7" t="str">
        <f aca="false">IF(ISNUMBER(K73),10-K73,"")</f>
        <v/>
      </c>
      <c r="M73" s="5"/>
      <c r="N73" s="5"/>
      <c r="O73" s="5"/>
      <c r="P73" s="5"/>
      <c r="Q73" s="5"/>
      <c r="R73" s="5"/>
      <c r="S73" s="5"/>
      <c r="T73" s="5"/>
    </row>
    <row r="74" customFormat="false" ht="15" hidden="false" customHeight="false" outlineLevel="0" collapsed="false">
      <c r="A74" s="5"/>
      <c r="B74" s="5"/>
      <c r="C74" s="7" t="str">
        <f aca="false">IFERROR(VLOOKUP(B74,Sessions!$A$2:$C$51,3,FALSE()),"")</f>
        <v/>
      </c>
      <c r="D74" s="5"/>
      <c r="E74" s="5"/>
      <c r="F74" s="5"/>
      <c r="G74" s="5"/>
      <c r="H74" s="8" t="str">
        <f aca="false">IFERROR(G74/VLOOKUP(C74,Subjects!$A$2:$H$31,8,FALSE()),"")</f>
        <v/>
      </c>
      <c r="I74" s="5"/>
      <c r="J74" s="5"/>
      <c r="K74" s="5"/>
      <c r="L74" s="7" t="str">
        <f aca="false">IF(ISNUMBER(K74),10-K74,"")</f>
        <v/>
      </c>
      <c r="M74" s="5"/>
      <c r="N74" s="5"/>
      <c r="O74" s="5"/>
      <c r="P74" s="5"/>
      <c r="Q74" s="5"/>
      <c r="R74" s="5"/>
      <c r="S74" s="5"/>
      <c r="T74" s="5"/>
    </row>
    <row r="75" customFormat="false" ht="15" hidden="false" customHeight="false" outlineLevel="0" collapsed="false">
      <c r="A75" s="5"/>
      <c r="B75" s="5"/>
      <c r="C75" s="7" t="str">
        <f aca="false">IFERROR(VLOOKUP(B75,Sessions!$A$2:$C$51,3,FALSE()),"")</f>
        <v/>
      </c>
      <c r="D75" s="5"/>
      <c r="E75" s="5"/>
      <c r="F75" s="5"/>
      <c r="G75" s="5"/>
      <c r="H75" s="8" t="str">
        <f aca="false">IFERROR(G75/VLOOKUP(C75,Subjects!$A$2:$H$31,8,FALSE()),"")</f>
        <v/>
      </c>
      <c r="I75" s="5"/>
      <c r="J75" s="5"/>
      <c r="K75" s="5"/>
      <c r="L75" s="7" t="str">
        <f aca="false">IF(ISNUMBER(K75),10-K75,"")</f>
        <v/>
      </c>
      <c r="M75" s="5"/>
      <c r="N75" s="5"/>
      <c r="O75" s="5"/>
      <c r="P75" s="5"/>
      <c r="Q75" s="5"/>
      <c r="R75" s="5"/>
      <c r="S75" s="5"/>
      <c r="T75" s="5"/>
    </row>
    <row r="76" customFormat="false" ht="15" hidden="false" customHeight="false" outlineLevel="0" collapsed="false">
      <c r="A76" s="5"/>
      <c r="B76" s="5"/>
      <c r="C76" s="7" t="str">
        <f aca="false">IFERROR(VLOOKUP(B76,Sessions!$A$2:$C$51,3,FALSE()),"")</f>
        <v/>
      </c>
      <c r="D76" s="5"/>
      <c r="E76" s="5"/>
      <c r="F76" s="5"/>
      <c r="G76" s="5"/>
      <c r="H76" s="8" t="str">
        <f aca="false">IFERROR(G76/VLOOKUP(C76,Subjects!$A$2:$H$31,8,FALSE()),"")</f>
        <v/>
      </c>
      <c r="I76" s="5"/>
      <c r="J76" s="5"/>
      <c r="K76" s="5"/>
      <c r="L76" s="7" t="str">
        <f aca="false">IF(ISNUMBER(K76),10-K76,"")</f>
        <v/>
      </c>
      <c r="M76" s="5"/>
      <c r="N76" s="5"/>
      <c r="O76" s="5"/>
      <c r="P76" s="5"/>
      <c r="Q76" s="5"/>
      <c r="R76" s="5"/>
      <c r="S76" s="5"/>
      <c r="T76" s="5"/>
    </row>
    <row r="77" customFormat="false" ht="15" hidden="false" customHeight="false" outlineLevel="0" collapsed="false">
      <c r="A77" s="5"/>
      <c r="B77" s="5"/>
      <c r="C77" s="7" t="str">
        <f aca="false">IFERROR(VLOOKUP(B77,Sessions!$A$2:$C$51,3,FALSE()),"")</f>
        <v/>
      </c>
      <c r="D77" s="5"/>
      <c r="E77" s="5"/>
      <c r="F77" s="5"/>
      <c r="G77" s="5"/>
      <c r="H77" s="8" t="str">
        <f aca="false">IFERROR(G77/VLOOKUP(C77,Subjects!$A$2:$H$31,8,FALSE()),"")</f>
        <v/>
      </c>
      <c r="I77" s="5"/>
      <c r="J77" s="5"/>
      <c r="K77" s="5"/>
      <c r="L77" s="7" t="str">
        <f aca="false">IF(ISNUMBER(K77),10-K77,"")</f>
        <v/>
      </c>
      <c r="M77" s="5"/>
      <c r="N77" s="5"/>
      <c r="O77" s="5"/>
      <c r="P77" s="5"/>
      <c r="Q77" s="5"/>
      <c r="R77" s="5"/>
      <c r="S77" s="5"/>
      <c r="T77" s="5"/>
    </row>
    <row r="78" customFormat="false" ht="15" hidden="false" customHeight="false" outlineLevel="0" collapsed="false">
      <c r="A78" s="5"/>
      <c r="B78" s="5"/>
      <c r="C78" s="7" t="str">
        <f aca="false">IFERROR(VLOOKUP(B78,Sessions!$A$2:$C$51,3,FALSE()),"")</f>
        <v/>
      </c>
      <c r="D78" s="5"/>
      <c r="E78" s="5"/>
      <c r="F78" s="5"/>
      <c r="G78" s="5"/>
      <c r="H78" s="8" t="str">
        <f aca="false">IFERROR(G78/VLOOKUP(C78,Subjects!$A$2:$H$31,8,FALSE()),"")</f>
        <v/>
      </c>
      <c r="I78" s="5"/>
      <c r="J78" s="5"/>
      <c r="K78" s="5"/>
      <c r="L78" s="7" t="str">
        <f aca="false">IF(ISNUMBER(K78),10-K78,"")</f>
        <v/>
      </c>
      <c r="M78" s="5"/>
      <c r="N78" s="5"/>
      <c r="O78" s="5"/>
      <c r="P78" s="5"/>
      <c r="Q78" s="5"/>
      <c r="R78" s="5"/>
      <c r="S78" s="5"/>
      <c r="T78" s="5"/>
    </row>
    <row r="79" customFormat="false" ht="15" hidden="false" customHeight="false" outlineLevel="0" collapsed="false">
      <c r="A79" s="5"/>
      <c r="B79" s="5"/>
      <c r="C79" s="7" t="str">
        <f aca="false">IFERROR(VLOOKUP(B79,Sessions!$A$2:$C$51,3,FALSE()),"")</f>
        <v/>
      </c>
      <c r="D79" s="5"/>
      <c r="E79" s="5"/>
      <c r="F79" s="5"/>
      <c r="G79" s="5"/>
      <c r="H79" s="8" t="str">
        <f aca="false">IFERROR(G79/VLOOKUP(C79,Subjects!$A$2:$H$31,8,FALSE()),"")</f>
        <v/>
      </c>
      <c r="I79" s="5"/>
      <c r="J79" s="5"/>
      <c r="K79" s="5"/>
      <c r="L79" s="7" t="str">
        <f aca="false">IF(ISNUMBER(K79),10-K79,"")</f>
        <v/>
      </c>
      <c r="M79" s="5"/>
      <c r="N79" s="5"/>
      <c r="O79" s="5"/>
      <c r="P79" s="5"/>
      <c r="Q79" s="5"/>
      <c r="R79" s="5"/>
      <c r="S79" s="5"/>
      <c r="T79" s="5"/>
    </row>
    <row r="80" customFormat="false" ht="15" hidden="false" customHeight="false" outlineLevel="0" collapsed="false">
      <c r="A80" s="5"/>
      <c r="B80" s="5"/>
      <c r="C80" s="7" t="str">
        <f aca="false">IFERROR(VLOOKUP(B80,Sessions!$A$2:$C$51,3,FALSE()),"")</f>
        <v/>
      </c>
      <c r="D80" s="5"/>
      <c r="E80" s="5"/>
      <c r="F80" s="5"/>
      <c r="G80" s="5"/>
      <c r="H80" s="8" t="str">
        <f aca="false">IFERROR(G80/VLOOKUP(C80,Subjects!$A$2:$H$31,8,FALSE()),"")</f>
        <v/>
      </c>
      <c r="I80" s="5"/>
      <c r="J80" s="5"/>
      <c r="K80" s="5"/>
      <c r="L80" s="7" t="str">
        <f aca="false">IF(ISNUMBER(K80),10-K80,"")</f>
        <v/>
      </c>
      <c r="M80" s="5"/>
      <c r="N80" s="5"/>
      <c r="O80" s="5"/>
      <c r="P80" s="5"/>
      <c r="Q80" s="5"/>
      <c r="R80" s="5"/>
      <c r="S80" s="5"/>
      <c r="T80" s="5"/>
    </row>
    <row r="81" customFormat="false" ht="15" hidden="false" customHeight="false" outlineLevel="0" collapsed="false">
      <c r="A81" s="5"/>
      <c r="B81" s="5"/>
      <c r="C81" s="7" t="str">
        <f aca="false">IFERROR(VLOOKUP(B81,Sessions!$A$2:$C$51,3,FALSE()),"")</f>
        <v/>
      </c>
      <c r="D81" s="5"/>
      <c r="E81" s="5"/>
      <c r="F81" s="5"/>
      <c r="G81" s="5"/>
      <c r="H81" s="8" t="str">
        <f aca="false">IFERROR(G81/VLOOKUP(C81,Subjects!$A$2:$H$31,8,FALSE()),"")</f>
        <v/>
      </c>
      <c r="I81" s="5"/>
      <c r="J81" s="5"/>
      <c r="K81" s="5"/>
      <c r="L81" s="7" t="str">
        <f aca="false">IF(ISNUMBER(K81),10-K81,"")</f>
        <v/>
      </c>
      <c r="M81" s="5"/>
      <c r="N81" s="5"/>
      <c r="O81" s="5"/>
      <c r="P81" s="5"/>
      <c r="Q81" s="5"/>
      <c r="R81" s="5"/>
      <c r="S81" s="5"/>
      <c r="T81" s="5"/>
    </row>
    <row r="82" customFormat="false" ht="15" hidden="false" customHeight="false" outlineLevel="0" collapsed="false">
      <c r="A82" s="5"/>
      <c r="B82" s="5"/>
      <c r="C82" s="7" t="str">
        <f aca="false">IFERROR(VLOOKUP(B82,Sessions!$A$2:$C$51,3,FALSE()),"")</f>
        <v/>
      </c>
      <c r="D82" s="5"/>
      <c r="E82" s="5"/>
      <c r="F82" s="5"/>
      <c r="G82" s="5"/>
      <c r="H82" s="8" t="str">
        <f aca="false">IFERROR(G82/VLOOKUP(C82,Subjects!$A$2:$H$31,8,FALSE()),"")</f>
        <v/>
      </c>
      <c r="I82" s="5"/>
      <c r="J82" s="5"/>
      <c r="K82" s="5"/>
      <c r="L82" s="7" t="str">
        <f aca="false">IF(ISNUMBER(K82),10-K82,"")</f>
        <v/>
      </c>
      <c r="M82" s="5"/>
      <c r="N82" s="5"/>
      <c r="O82" s="5"/>
      <c r="P82" s="5"/>
      <c r="Q82" s="5"/>
      <c r="R82" s="5"/>
      <c r="S82" s="5"/>
      <c r="T82" s="5"/>
    </row>
    <row r="83" customFormat="false" ht="15" hidden="false" customHeight="false" outlineLevel="0" collapsed="false">
      <c r="A83" s="5"/>
      <c r="B83" s="5"/>
      <c r="C83" s="7" t="str">
        <f aca="false">IFERROR(VLOOKUP(B83,Sessions!$A$2:$C$51,3,FALSE()),"")</f>
        <v/>
      </c>
      <c r="D83" s="5"/>
      <c r="E83" s="5"/>
      <c r="F83" s="5"/>
      <c r="G83" s="5"/>
      <c r="H83" s="8" t="str">
        <f aca="false">IFERROR(G83/VLOOKUP(C83,Subjects!$A$2:$H$31,8,FALSE()),"")</f>
        <v/>
      </c>
      <c r="I83" s="5"/>
      <c r="J83" s="5"/>
      <c r="K83" s="5"/>
      <c r="L83" s="7" t="str">
        <f aca="false">IF(ISNUMBER(K83),10-K83,"")</f>
        <v/>
      </c>
      <c r="M83" s="5"/>
      <c r="N83" s="5"/>
      <c r="O83" s="5"/>
      <c r="P83" s="5"/>
      <c r="Q83" s="5"/>
      <c r="R83" s="5"/>
      <c r="S83" s="5"/>
      <c r="T83" s="5"/>
    </row>
    <row r="84" customFormat="false" ht="15" hidden="false" customHeight="false" outlineLevel="0" collapsed="false">
      <c r="A84" s="5"/>
      <c r="B84" s="5"/>
      <c r="C84" s="7" t="str">
        <f aca="false">IFERROR(VLOOKUP(B84,Sessions!$A$2:$C$51,3,FALSE()),"")</f>
        <v/>
      </c>
      <c r="D84" s="5"/>
      <c r="E84" s="5"/>
      <c r="F84" s="5"/>
      <c r="G84" s="5"/>
      <c r="H84" s="8" t="str">
        <f aca="false">IFERROR(G84/VLOOKUP(C84,Subjects!$A$2:$H$31,8,FALSE()),"")</f>
        <v/>
      </c>
      <c r="I84" s="5"/>
      <c r="J84" s="5"/>
      <c r="K84" s="5"/>
      <c r="L84" s="7" t="str">
        <f aca="false">IF(ISNUMBER(K84),10-K84,"")</f>
        <v/>
      </c>
      <c r="M84" s="5"/>
      <c r="N84" s="5"/>
      <c r="O84" s="5"/>
      <c r="P84" s="5"/>
      <c r="Q84" s="5"/>
      <c r="R84" s="5"/>
      <c r="S84" s="5"/>
      <c r="T84" s="5"/>
    </row>
    <row r="85" customFormat="false" ht="15" hidden="false" customHeight="false" outlineLevel="0" collapsed="false">
      <c r="A85" s="5"/>
      <c r="B85" s="5"/>
      <c r="C85" s="7" t="str">
        <f aca="false">IFERROR(VLOOKUP(B85,Sessions!$A$2:$C$51,3,FALSE()),"")</f>
        <v/>
      </c>
      <c r="D85" s="5"/>
      <c r="E85" s="5"/>
      <c r="F85" s="5"/>
      <c r="G85" s="5"/>
      <c r="H85" s="8" t="str">
        <f aca="false">IFERROR(G85/VLOOKUP(C85,Subjects!$A$2:$H$31,8,FALSE()),"")</f>
        <v/>
      </c>
      <c r="I85" s="5"/>
      <c r="J85" s="5"/>
      <c r="K85" s="5"/>
      <c r="L85" s="7" t="str">
        <f aca="false">IF(ISNUMBER(K85),10-K85,"")</f>
        <v/>
      </c>
      <c r="M85" s="5"/>
      <c r="N85" s="5"/>
      <c r="O85" s="5"/>
      <c r="P85" s="5"/>
      <c r="Q85" s="5"/>
      <c r="R85" s="5"/>
      <c r="S85" s="5"/>
      <c r="T85" s="5"/>
    </row>
    <row r="86" customFormat="false" ht="15" hidden="false" customHeight="false" outlineLevel="0" collapsed="false">
      <c r="A86" s="5"/>
      <c r="B86" s="5"/>
      <c r="C86" s="7" t="str">
        <f aca="false">IFERROR(VLOOKUP(B86,Sessions!$A$2:$C$51,3,FALSE()),"")</f>
        <v/>
      </c>
      <c r="D86" s="5"/>
      <c r="E86" s="5"/>
      <c r="F86" s="5"/>
      <c r="G86" s="5"/>
      <c r="H86" s="8" t="str">
        <f aca="false">IFERROR(G86/VLOOKUP(C86,Subjects!$A$2:$H$31,8,FALSE()),"")</f>
        <v/>
      </c>
      <c r="I86" s="5"/>
      <c r="J86" s="5"/>
      <c r="K86" s="5"/>
      <c r="L86" s="7" t="str">
        <f aca="false">IF(ISNUMBER(K86),10-K86,"")</f>
        <v/>
      </c>
      <c r="M86" s="5"/>
      <c r="N86" s="5"/>
      <c r="O86" s="5"/>
      <c r="P86" s="5"/>
      <c r="Q86" s="5"/>
      <c r="R86" s="5"/>
      <c r="S86" s="5"/>
      <c r="T86" s="5"/>
    </row>
    <row r="87" customFormat="false" ht="15" hidden="false" customHeight="false" outlineLevel="0" collapsed="false">
      <c r="A87" s="5"/>
      <c r="B87" s="5"/>
      <c r="C87" s="7" t="str">
        <f aca="false">IFERROR(VLOOKUP(B87,Sessions!$A$2:$C$51,3,FALSE()),"")</f>
        <v/>
      </c>
      <c r="D87" s="5"/>
      <c r="E87" s="5"/>
      <c r="F87" s="5"/>
      <c r="G87" s="5"/>
      <c r="H87" s="8" t="str">
        <f aca="false">IFERROR(G87/VLOOKUP(C87,Subjects!$A$2:$H$31,8,FALSE()),"")</f>
        <v/>
      </c>
      <c r="I87" s="5"/>
      <c r="J87" s="5"/>
      <c r="K87" s="5"/>
      <c r="L87" s="7" t="str">
        <f aca="false">IF(ISNUMBER(K87),10-K87,"")</f>
        <v/>
      </c>
      <c r="M87" s="5"/>
      <c r="N87" s="5"/>
      <c r="O87" s="5"/>
      <c r="P87" s="5"/>
      <c r="Q87" s="5"/>
      <c r="R87" s="5"/>
      <c r="S87" s="5"/>
      <c r="T87" s="5"/>
    </row>
    <row r="88" customFormat="false" ht="15" hidden="false" customHeight="false" outlineLevel="0" collapsed="false">
      <c r="A88" s="5"/>
      <c r="B88" s="5"/>
      <c r="C88" s="7" t="str">
        <f aca="false">IFERROR(VLOOKUP(B88,Sessions!$A$2:$C$51,3,FALSE()),"")</f>
        <v/>
      </c>
      <c r="D88" s="5"/>
      <c r="E88" s="5"/>
      <c r="F88" s="5"/>
      <c r="G88" s="5"/>
      <c r="H88" s="8" t="str">
        <f aca="false">IFERROR(G88/VLOOKUP(C88,Subjects!$A$2:$H$31,8,FALSE()),"")</f>
        <v/>
      </c>
      <c r="I88" s="5"/>
      <c r="J88" s="5"/>
      <c r="K88" s="5"/>
      <c r="L88" s="7" t="str">
        <f aca="false">IF(ISNUMBER(K88),10-K88,"")</f>
        <v/>
      </c>
      <c r="M88" s="5"/>
      <c r="N88" s="5"/>
      <c r="O88" s="5"/>
      <c r="P88" s="5"/>
      <c r="Q88" s="5"/>
      <c r="R88" s="5"/>
      <c r="S88" s="5"/>
      <c r="T88" s="5"/>
    </row>
    <row r="89" customFormat="false" ht="15" hidden="false" customHeight="false" outlineLevel="0" collapsed="false">
      <c r="A89" s="5"/>
      <c r="B89" s="5"/>
      <c r="C89" s="7" t="str">
        <f aca="false">IFERROR(VLOOKUP(B89,Sessions!$A$2:$C$51,3,FALSE()),"")</f>
        <v/>
      </c>
      <c r="D89" s="5"/>
      <c r="E89" s="5"/>
      <c r="F89" s="5"/>
      <c r="G89" s="5"/>
      <c r="H89" s="8" t="str">
        <f aca="false">IFERROR(G89/VLOOKUP(C89,Subjects!$A$2:$H$31,8,FALSE()),"")</f>
        <v/>
      </c>
      <c r="I89" s="5"/>
      <c r="J89" s="5"/>
      <c r="K89" s="5"/>
      <c r="L89" s="7" t="str">
        <f aca="false">IF(ISNUMBER(K89),10-K89,"")</f>
        <v/>
      </c>
      <c r="M89" s="5"/>
      <c r="N89" s="5"/>
      <c r="O89" s="5"/>
      <c r="P89" s="5"/>
      <c r="Q89" s="5"/>
      <c r="R89" s="5"/>
      <c r="S89" s="5"/>
      <c r="T89" s="5"/>
    </row>
    <row r="90" customFormat="false" ht="15" hidden="false" customHeight="false" outlineLevel="0" collapsed="false">
      <c r="A90" s="5"/>
      <c r="B90" s="5"/>
      <c r="C90" s="7" t="str">
        <f aca="false">IFERROR(VLOOKUP(B90,Sessions!$A$2:$C$51,3,FALSE()),"")</f>
        <v/>
      </c>
      <c r="D90" s="5"/>
      <c r="E90" s="5"/>
      <c r="F90" s="5"/>
      <c r="G90" s="5"/>
      <c r="H90" s="8" t="str">
        <f aca="false">IFERROR(G90/VLOOKUP(C90,Subjects!$A$2:$H$31,8,FALSE()),"")</f>
        <v/>
      </c>
      <c r="I90" s="5"/>
      <c r="J90" s="5"/>
      <c r="K90" s="5"/>
      <c r="L90" s="7" t="str">
        <f aca="false">IF(ISNUMBER(K90),10-K90,"")</f>
        <v/>
      </c>
      <c r="M90" s="5"/>
      <c r="N90" s="5"/>
      <c r="O90" s="5"/>
      <c r="P90" s="5"/>
      <c r="Q90" s="5"/>
      <c r="R90" s="5"/>
      <c r="S90" s="5"/>
      <c r="T90" s="5"/>
    </row>
    <row r="91" customFormat="false" ht="15" hidden="false" customHeight="false" outlineLevel="0" collapsed="false">
      <c r="A91" s="5"/>
      <c r="B91" s="5"/>
      <c r="C91" s="7" t="str">
        <f aca="false">IFERROR(VLOOKUP(B91,Sessions!$A$2:$C$51,3,FALSE()),"")</f>
        <v/>
      </c>
      <c r="D91" s="5"/>
      <c r="E91" s="5"/>
      <c r="F91" s="5"/>
      <c r="G91" s="5"/>
      <c r="H91" s="8" t="str">
        <f aca="false">IFERROR(G91/VLOOKUP(C91,Subjects!$A$2:$H$31,8,FALSE()),"")</f>
        <v/>
      </c>
      <c r="I91" s="5"/>
      <c r="J91" s="5"/>
      <c r="K91" s="5"/>
      <c r="L91" s="7" t="str">
        <f aca="false">IF(ISNUMBER(K91),10-K91,"")</f>
        <v/>
      </c>
      <c r="M91" s="5"/>
      <c r="N91" s="5"/>
      <c r="O91" s="5"/>
      <c r="P91" s="5"/>
      <c r="Q91" s="5"/>
      <c r="R91" s="5"/>
      <c r="S91" s="5"/>
      <c r="T91" s="5"/>
    </row>
    <row r="92" customFormat="false" ht="15" hidden="false" customHeight="false" outlineLevel="0" collapsed="false">
      <c r="A92" s="5"/>
      <c r="B92" s="5"/>
      <c r="C92" s="7" t="str">
        <f aca="false">IFERROR(VLOOKUP(B92,Sessions!$A$2:$C$51,3,FALSE()),"")</f>
        <v/>
      </c>
      <c r="D92" s="5"/>
      <c r="E92" s="5"/>
      <c r="F92" s="5"/>
      <c r="G92" s="5"/>
      <c r="H92" s="8" t="str">
        <f aca="false">IFERROR(G92/VLOOKUP(C92,Subjects!$A$2:$H$31,8,FALSE()),"")</f>
        <v/>
      </c>
      <c r="I92" s="5"/>
      <c r="J92" s="5"/>
      <c r="K92" s="5"/>
      <c r="L92" s="7" t="str">
        <f aca="false">IF(ISNUMBER(K92),10-K92,"")</f>
        <v/>
      </c>
      <c r="M92" s="5"/>
      <c r="N92" s="5"/>
      <c r="O92" s="5"/>
      <c r="P92" s="5"/>
      <c r="Q92" s="5"/>
      <c r="R92" s="5"/>
      <c r="S92" s="5"/>
      <c r="T92" s="5"/>
    </row>
    <row r="93" customFormat="false" ht="15" hidden="false" customHeight="false" outlineLevel="0" collapsed="false">
      <c r="A93" s="5"/>
      <c r="B93" s="5"/>
      <c r="C93" s="7" t="str">
        <f aca="false">IFERROR(VLOOKUP(B93,Sessions!$A$2:$C$51,3,FALSE()),"")</f>
        <v/>
      </c>
      <c r="D93" s="5"/>
      <c r="E93" s="5"/>
      <c r="F93" s="5"/>
      <c r="G93" s="5"/>
      <c r="H93" s="8" t="str">
        <f aca="false">IFERROR(G93/VLOOKUP(C93,Subjects!$A$2:$H$31,8,FALSE()),"")</f>
        <v/>
      </c>
      <c r="I93" s="5"/>
      <c r="J93" s="5"/>
      <c r="K93" s="5"/>
      <c r="L93" s="7" t="str">
        <f aca="false">IF(ISNUMBER(K93),10-K93,"")</f>
        <v/>
      </c>
      <c r="M93" s="5"/>
      <c r="N93" s="5"/>
      <c r="O93" s="5"/>
      <c r="P93" s="5"/>
      <c r="Q93" s="5"/>
      <c r="R93" s="5"/>
      <c r="S93" s="5"/>
      <c r="T93" s="5"/>
    </row>
    <row r="94" customFormat="false" ht="15" hidden="false" customHeight="false" outlineLevel="0" collapsed="false">
      <c r="A94" s="5"/>
      <c r="B94" s="5"/>
      <c r="C94" s="7" t="str">
        <f aca="false">IFERROR(VLOOKUP(B94,Sessions!$A$2:$C$51,3,FALSE()),"")</f>
        <v/>
      </c>
      <c r="D94" s="5"/>
      <c r="E94" s="5"/>
      <c r="F94" s="5"/>
      <c r="G94" s="5"/>
      <c r="H94" s="8" t="str">
        <f aca="false">IFERROR(G94/VLOOKUP(C94,Subjects!$A$2:$H$31,8,FALSE()),"")</f>
        <v/>
      </c>
      <c r="I94" s="5"/>
      <c r="J94" s="5"/>
      <c r="K94" s="5"/>
      <c r="L94" s="7" t="str">
        <f aca="false">IF(ISNUMBER(K94),10-K94,"")</f>
        <v/>
      </c>
      <c r="M94" s="5"/>
      <c r="N94" s="5"/>
      <c r="O94" s="5"/>
      <c r="P94" s="5"/>
      <c r="Q94" s="5"/>
      <c r="R94" s="5"/>
      <c r="S94" s="5"/>
      <c r="T94" s="5"/>
    </row>
    <row r="95" customFormat="false" ht="15" hidden="false" customHeight="false" outlineLevel="0" collapsed="false">
      <c r="A95" s="5"/>
      <c r="B95" s="5"/>
      <c r="C95" s="7" t="str">
        <f aca="false">IFERROR(VLOOKUP(B95,Sessions!$A$2:$C$51,3,FALSE()),"")</f>
        <v/>
      </c>
      <c r="D95" s="5"/>
      <c r="E95" s="5"/>
      <c r="F95" s="5"/>
      <c r="G95" s="5"/>
      <c r="H95" s="8" t="str">
        <f aca="false">IFERROR(G95/VLOOKUP(C95,Subjects!$A$2:$H$31,8,FALSE()),"")</f>
        <v/>
      </c>
      <c r="I95" s="5"/>
      <c r="J95" s="5"/>
      <c r="K95" s="5"/>
      <c r="L95" s="7" t="str">
        <f aca="false">IF(ISNUMBER(K95),10-K95,"")</f>
        <v/>
      </c>
      <c r="M95" s="5"/>
      <c r="N95" s="5"/>
      <c r="O95" s="5"/>
      <c r="P95" s="5"/>
      <c r="Q95" s="5"/>
      <c r="R95" s="5"/>
      <c r="S95" s="5"/>
      <c r="T95" s="5"/>
    </row>
    <row r="96" customFormat="false" ht="15" hidden="false" customHeight="false" outlineLevel="0" collapsed="false">
      <c r="A96" s="5"/>
      <c r="B96" s="5"/>
      <c r="C96" s="7" t="str">
        <f aca="false">IFERROR(VLOOKUP(B96,Sessions!$A$2:$C$51,3,FALSE()),"")</f>
        <v/>
      </c>
      <c r="D96" s="5"/>
      <c r="E96" s="5"/>
      <c r="F96" s="5"/>
      <c r="G96" s="5"/>
      <c r="H96" s="8" t="str">
        <f aca="false">IFERROR(G96/VLOOKUP(C96,Subjects!$A$2:$H$31,8,FALSE()),"")</f>
        <v/>
      </c>
      <c r="I96" s="5"/>
      <c r="J96" s="5"/>
      <c r="K96" s="5"/>
      <c r="L96" s="7" t="str">
        <f aca="false">IF(ISNUMBER(K96),10-K96,"")</f>
        <v/>
      </c>
      <c r="M96" s="5"/>
      <c r="N96" s="5"/>
      <c r="O96" s="5"/>
      <c r="P96" s="5"/>
      <c r="Q96" s="5"/>
      <c r="R96" s="5"/>
      <c r="S96" s="5"/>
      <c r="T96" s="5"/>
    </row>
    <row r="97" customFormat="false" ht="15" hidden="false" customHeight="false" outlineLevel="0" collapsed="false">
      <c r="A97" s="5"/>
      <c r="B97" s="5"/>
      <c r="C97" s="7" t="str">
        <f aca="false">IFERROR(VLOOKUP(B97,Sessions!$A$2:$C$51,3,FALSE()),"")</f>
        <v/>
      </c>
      <c r="D97" s="5"/>
      <c r="E97" s="5"/>
      <c r="F97" s="5"/>
      <c r="G97" s="5"/>
      <c r="H97" s="8" t="str">
        <f aca="false">IFERROR(G97/VLOOKUP(C97,Subjects!$A$2:$H$31,8,FALSE()),"")</f>
        <v/>
      </c>
      <c r="I97" s="5"/>
      <c r="J97" s="5"/>
      <c r="K97" s="5"/>
      <c r="L97" s="7" t="str">
        <f aca="false">IF(ISNUMBER(K97),10-K97,"")</f>
        <v/>
      </c>
      <c r="M97" s="5"/>
      <c r="N97" s="5"/>
      <c r="O97" s="5"/>
      <c r="P97" s="5"/>
      <c r="Q97" s="5"/>
      <c r="R97" s="5"/>
      <c r="S97" s="5"/>
      <c r="T97" s="5"/>
    </row>
    <row r="98" customFormat="false" ht="15" hidden="false" customHeight="false" outlineLevel="0" collapsed="false">
      <c r="A98" s="5"/>
      <c r="B98" s="5"/>
      <c r="C98" s="7" t="str">
        <f aca="false">IFERROR(VLOOKUP(B98,Sessions!$A$2:$C$51,3,FALSE()),"")</f>
        <v/>
      </c>
      <c r="D98" s="5"/>
      <c r="E98" s="5"/>
      <c r="F98" s="5"/>
      <c r="G98" s="5"/>
      <c r="H98" s="8" t="str">
        <f aca="false">IFERROR(G98/VLOOKUP(C98,Subjects!$A$2:$H$31,8,FALSE()),"")</f>
        <v/>
      </c>
      <c r="I98" s="5"/>
      <c r="J98" s="5"/>
      <c r="K98" s="5"/>
      <c r="L98" s="7" t="str">
        <f aca="false">IF(ISNUMBER(K98),10-K98,"")</f>
        <v/>
      </c>
      <c r="M98" s="5"/>
      <c r="N98" s="5"/>
      <c r="O98" s="5"/>
      <c r="P98" s="5"/>
      <c r="Q98" s="5"/>
      <c r="R98" s="5"/>
      <c r="S98" s="5"/>
      <c r="T98" s="5"/>
    </row>
    <row r="99" customFormat="false" ht="15" hidden="false" customHeight="false" outlineLevel="0" collapsed="false">
      <c r="A99" s="5"/>
      <c r="B99" s="5"/>
      <c r="C99" s="7" t="str">
        <f aca="false">IFERROR(VLOOKUP(B99,Sessions!$A$2:$C$51,3,FALSE()),"")</f>
        <v/>
      </c>
      <c r="D99" s="5"/>
      <c r="E99" s="5"/>
      <c r="F99" s="5"/>
      <c r="G99" s="5"/>
      <c r="H99" s="8" t="str">
        <f aca="false">IFERROR(G99/VLOOKUP(C99,Subjects!$A$2:$H$31,8,FALSE()),"")</f>
        <v/>
      </c>
      <c r="I99" s="5"/>
      <c r="J99" s="5"/>
      <c r="K99" s="5"/>
      <c r="L99" s="7" t="str">
        <f aca="false">IF(ISNUMBER(K99),10-K99,"")</f>
        <v/>
      </c>
      <c r="M99" s="5"/>
      <c r="N99" s="5"/>
      <c r="O99" s="5"/>
      <c r="P99" s="5"/>
      <c r="Q99" s="5"/>
      <c r="R99" s="5"/>
      <c r="S99" s="5"/>
      <c r="T99" s="5"/>
    </row>
    <row r="100" customFormat="false" ht="15" hidden="false" customHeight="false" outlineLevel="0" collapsed="false">
      <c r="A100" s="5"/>
      <c r="B100" s="5"/>
      <c r="C100" s="7" t="str">
        <f aca="false">IFERROR(VLOOKUP(B100,Sessions!$A$2:$C$51,3,FALSE()),"")</f>
        <v/>
      </c>
      <c r="D100" s="5"/>
      <c r="E100" s="5"/>
      <c r="F100" s="5"/>
      <c r="G100" s="5"/>
      <c r="H100" s="8" t="str">
        <f aca="false">IFERROR(G100/VLOOKUP(C100,Subjects!$A$2:$H$31,8,FALSE()),"")</f>
        <v/>
      </c>
      <c r="I100" s="5"/>
      <c r="J100" s="5"/>
      <c r="K100" s="5"/>
      <c r="L100" s="7" t="str">
        <f aca="false">IF(ISNUMBER(K100),10-K100,"")</f>
        <v/>
      </c>
      <c r="M100" s="5"/>
      <c r="N100" s="5"/>
      <c r="O100" s="5"/>
      <c r="P100" s="5"/>
      <c r="Q100" s="5"/>
      <c r="R100" s="5"/>
      <c r="S100" s="5"/>
      <c r="T100" s="5"/>
    </row>
    <row r="101" customFormat="false" ht="15" hidden="false" customHeight="false" outlineLevel="0" collapsed="false">
      <c r="A101" s="5"/>
      <c r="B101" s="5"/>
      <c r="C101" s="7" t="str">
        <f aca="false">IFERROR(VLOOKUP(B101,Sessions!$A$2:$C$51,3,FALSE()),"")</f>
        <v/>
      </c>
      <c r="D101" s="5"/>
      <c r="E101" s="5"/>
      <c r="F101" s="5"/>
      <c r="G101" s="5"/>
      <c r="H101" s="8" t="str">
        <f aca="false">IFERROR(G101/VLOOKUP(C101,Subjects!$A$2:$H$31,8,FALSE()),"")</f>
        <v/>
      </c>
      <c r="I101" s="5"/>
      <c r="J101" s="5"/>
      <c r="K101" s="5"/>
      <c r="L101" s="7" t="str">
        <f aca="false">IF(ISNUMBER(K101),10-K101,"")</f>
        <v/>
      </c>
      <c r="M101" s="5"/>
      <c r="N101" s="5"/>
      <c r="O101" s="5"/>
      <c r="P101" s="5"/>
      <c r="Q101" s="5"/>
      <c r="R101" s="5"/>
      <c r="S101" s="5"/>
      <c r="T101" s="5"/>
    </row>
    <row r="102" customFormat="false" ht="15" hidden="false" customHeight="false" outlineLevel="0" collapsed="false">
      <c r="A102" s="5"/>
      <c r="B102" s="5"/>
      <c r="C102" s="7" t="str">
        <f aca="false">IFERROR(VLOOKUP(B102,Sessions!$A$2:$C$51,3,FALSE()),"")</f>
        <v/>
      </c>
      <c r="D102" s="5"/>
      <c r="E102" s="5"/>
      <c r="F102" s="5"/>
      <c r="G102" s="5"/>
      <c r="H102" s="8" t="str">
        <f aca="false">IFERROR(G102/VLOOKUP(C102,Subjects!$A$2:$H$31,8,FALSE()),"")</f>
        <v/>
      </c>
      <c r="I102" s="5"/>
      <c r="J102" s="5"/>
      <c r="K102" s="5"/>
      <c r="L102" s="7" t="str">
        <f aca="false">IF(ISNUMBER(K102),10-K102,"")</f>
        <v/>
      </c>
      <c r="M102" s="5"/>
      <c r="N102" s="5"/>
      <c r="O102" s="5"/>
      <c r="P102" s="5"/>
      <c r="Q102" s="5"/>
      <c r="R102" s="5"/>
      <c r="S102" s="5"/>
      <c r="T102" s="5"/>
    </row>
    <row r="103" customFormat="false" ht="15" hidden="false" customHeight="false" outlineLevel="0" collapsed="false">
      <c r="A103" s="5"/>
      <c r="B103" s="5"/>
      <c r="C103" s="7" t="str">
        <f aca="false">IFERROR(VLOOKUP(B103,Sessions!$A$2:$C$51,3,FALSE()),"")</f>
        <v/>
      </c>
      <c r="D103" s="5"/>
      <c r="E103" s="5"/>
      <c r="F103" s="5"/>
      <c r="G103" s="5"/>
      <c r="H103" s="8" t="str">
        <f aca="false">IFERROR(G103/VLOOKUP(C103,Subjects!$A$2:$H$31,8,FALSE()),"")</f>
        <v/>
      </c>
      <c r="I103" s="5"/>
      <c r="J103" s="5"/>
      <c r="K103" s="5"/>
      <c r="L103" s="7" t="str">
        <f aca="false">IF(ISNUMBER(K103),10-K103,"")</f>
        <v/>
      </c>
      <c r="M103" s="5"/>
      <c r="N103" s="5"/>
      <c r="O103" s="5"/>
      <c r="P103" s="5"/>
      <c r="Q103" s="5"/>
      <c r="R103" s="5"/>
      <c r="S103" s="5"/>
      <c r="T103" s="5"/>
    </row>
    <row r="104" customFormat="false" ht="15" hidden="false" customHeight="false" outlineLevel="0" collapsed="false">
      <c r="A104" s="5"/>
      <c r="B104" s="5"/>
      <c r="C104" s="7" t="str">
        <f aca="false">IFERROR(VLOOKUP(B104,Sessions!$A$2:$C$51,3,FALSE()),"")</f>
        <v/>
      </c>
      <c r="D104" s="5"/>
      <c r="E104" s="5"/>
      <c r="F104" s="5"/>
      <c r="G104" s="5"/>
      <c r="H104" s="8" t="str">
        <f aca="false">IFERROR(G104/VLOOKUP(C104,Subjects!$A$2:$H$31,8,FALSE()),"")</f>
        <v/>
      </c>
      <c r="I104" s="5"/>
      <c r="J104" s="5"/>
      <c r="K104" s="5"/>
      <c r="L104" s="7" t="str">
        <f aca="false">IF(ISNUMBER(K104),10-K104,"")</f>
        <v/>
      </c>
      <c r="M104" s="5"/>
      <c r="N104" s="5"/>
      <c r="O104" s="5"/>
      <c r="P104" s="5"/>
      <c r="Q104" s="5"/>
      <c r="R104" s="5"/>
      <c r="S104" s="5"/>
      <c r="T104" s="5"/>
    </row>
    <row r="105" customFormat="false" ht="15" hidden="false" customHeight="false" outlineLevel="0" collapsed="false">
      <c r="A105" s="5"/>
      <c r="B105" s="5"/>
      <c r="C105" s="7" t="str">
        <f aca="false">IFERROR(VLOOKUP(B105,Sessions!$A$2:$C$51,3,FALSE()),"")</f>
        <v/>
      </c>
      <c r="D105" s="5"/>
      <c r="E105" s="5"/>
      <c r="F105" s="5"/>
      <c r="G105" s="5"/>
      <c r="H105" s="8" t="str">
        <f aca="false">IFERROR(G105/VLOOKUP(C105,Subjects!$A$2:$H$31,8,FALSE()),"")</f>
        <v/>
      </c>
      <c r="I105" s="5"/>
      <c r="J105" s="5"/>
      <c r="K105" s="5"/>
      <c r="L105" s="7" t="str">
        <f aca="false">IF(ISNUMBER(K105),10-K105,"")</f>
        <v/>
      </c>
      <c r="M105" s="5"/>
      <c r="N105" s="5"/>
      <c r="O105" s="5"/>
      <c r="P105" s="5"/>
      <c r="Q105" s="5"/>
      <c r="R105" s="5"/>
      <c r="S105" s="5"/>
      <c r="T105" s="5"/>
    </row>
    <row r="106" customFormat="false" ht="15" hidden="false" customHeight="false" outlineLevel="0" collapsed="false">
      <c r="A106" s="5"/>
      <c r="B106" s="5"/>
      <c r="C106" s="7" t="str">
        <f aca="false">IFERROR(VLOOKUP(B106,Sessions!$A$2:$C$51,3,FALSE()),"")</f>
        <v/>
      </c>
      <c r="D106" s="5"/>
      <c r="E106" s="5"/>
      <c r="F106" s="5"/>
      <c r="G106" s="5"/>
      <c r="H106" s="8" t="str">
        <f aca="false">IFERROR(G106/VLOOKUP(C106,Subjects!$A$2:$H$31,8,FALSE()),"")</f>
        <v/>
      </c>
      <c r="I106" s="5"/>
      <c r="J106" s="5"/>
      <c r="K106" s="5"/>
      <c r="L106" s="7" t="str">
        <f aca="false">IF(ISNUMBER(K106),10-K106,"")</f>
        <v/>
      </c>
      <c r="M106" s="5"/>
      <c r="N106" s="5"/>
      <c r="O106" s="5"/>
      <c r="P106" s="5"/>
      <c r="Q106" s="5"/>
      <c r="R106" s="5"/>
      <c r="S106" s="5"/>
      <c r="T106" s="5"/>
    </row>
    <row r="107" customFormat="false" ht="15" hidden="false" customHeight="false" outlineLevel="0" collapsed="false">
      <c r="A107" s="5"/>
      <c r="B107" s="5"/>
      <c r="C107" s="7" t="str">
        <f aca="false">IFERROR(VLOOKUP(B107,Sessions!$A$2:$C$51,3,FALSE()),"")</f>
        <v/>
      </c>
      <c r="D107" s="5"/>
      <c r="E107" s="5"/>
      <c r="F107" s="5"/>
      <c r="G107" s="5"/>
      <c r="H107" s="8" t="str">
        <f aca="false">IFERROR(G107/VLOOKUP(C107,Subjects!$A$2:$H$31,8,FALSE()),"")</f>
        <v/>
      </c>
      <c r="I107" s="5"/>
      <c r="J107" s="5"/>
      <c r="K107" s="5"/>
      <c r="L107" s="7" t="str">
        <f aca="false">IF(ISNUMBER(K107),10-K107,"")</f>
        <v/>
      </c>
      <c r="M107" s="5"/>
      <c r="N107" s="5"/>
      <c r="O107" s="5"/>
      <c r="P107" s="5"/>
      <c r="Q107" s="5"/>
      <c r="R107" s="5"/>
      <c r="S107" s="5"/>
      <c r="T107" s="5"/>
    </row>
    <row r="108" customFormat="false" ht="15" hidden="false" customHeight="false" outlineLevel="0" collapsed="false">
      <c r="A108" s="5"/>
      <c r="B108" s="5"/>
      <c r="C108" s="7" t="str">
        <f aca="false">IFERROR(VLOOKUP(B108,Sessions!$A$2:$C$51,3,FALSE()),"")</f>
        <v/>
      </c>
      <c r="D108" s="5"/>
      <c r="E108" s="5"/>
      <c r="F108" s="5"/>
      <c r="G108" s="5"/>
      <c r="H108" s="8" t="str">
        <f aca="false">IFERROR(G108/VLOOKUP(C108,Subjects!$A$2:$H$31,8,FALSE()),"")</f>
        <v/>
      </c>
      <c r="I108" s="5"/>
      <c r="J108" s="5"/>
      <c r="K108" s="5"/>
      <c r="L108" s="7" t="str">
        <f aca="false">IF(ISNUMBER(K108),10-K108,"")</f>
        <v/>
      </c>
      <c r="M108" s="5"/>
      <c r="N108" s="5"/>
      <c r="O108" s="5"/>
      <c r="P108" s="5"/>
      <c r="Q108" s="5"/>
      <c r="R108" s="5"/>
      <c r="S108" s="5"/>
      <c r="T108" s="5"/>
    </row>
    <row r="109" customFormat="false" ht="15" hidden="false" customHeight="false" outlineLevel="0" collapsed="false">
      <c r="A109" s="5"/>
      <c r="B109" s="5"/>
      <c r="C109" s="7" t="str">
        <f aca="false">IFERROR(VLOOKUP(B109,Sessions!$A$2:$C$51,3,FALSE()),"")</f>
        <v/>
      </c>
      <c r="D109" s="5"/>
      <c r="E109" s="5"/>
      <c r="F109" s="5"/>
      <c r="G109" s="5"/>
      <c r="H109" s="8" t="str">
        <f aca="false">IFERROR(G109/VLOOKUP(C109,Subjects!$A$2:$H$31,8,FALSE()),"")</f>
        <v/>
      </c>
      <c r="I109" s="5"/>
      <c r="J109" s="5"/>
      <c r="K109" s="5"/>
      <c r="L109" s="7" t="str">
        <f aca="false">IF(ISNUMBER(K109),10-K109,"")</f>
        <v/>
      </c>
      <c r="M109" s="5"/>
      <c r="N109" s="5"/>
      <c r="O109" s="5"/>
      <c r="P109" s="5"/>
      <c r="Q109" s="5"/>
      <c r="R109" s="5"/>
      <c r="S109" s="5"/>
      <c r="T109" s="5"/>
    </row>
    <row r="110" customFormat="false" ht="15" hidden="false" customHeight="false" outlineLevel="0" collapsed="false">
      <c r="A110" s="5"/>
      <c r="B110" s="5"/>
      <c r="C110" s="7" t="str">
        <f aca="false">IFERROR(VLOOKUP(B110,Sessions!$A$2:$C$51,3,FALSE()),"")</f>
        <v/>
      </c>
      <c r="D110" s="5"/>
      <c r="E110" s="5"/>
      <c r="F110" s="5"/>
      <c r="G110" s="5"/>
      <c r="H110" s="8" t="str">
        <f aca="false">IFERROR(G110/VLOOKUP(C110,Subjects!$A$2:$H$31,8,FALSE()),"")</f>
        <v/>
      </c>
      <c r="I110" s="5"/>
      <c r="J110" s="5"/>
      <c r="K110" s="5"/>
      <c r="L110" s="7" t="str">
        <f aca="false">IF(ISNUMBER(K110),10-K110,"")</f>
        <v/>
      </c>
      <c r="M110" s="5"/>
      <c r="N110" s="5"/>
      <c r="O110" s="5"/>
      <c r="P110" s="5"/>
      <c r="Q110" s="5"/>
      <c r="R110" s="5"/>
      <c r="S110" s="5"/>
      <c r="T110" s="5"/>
    </row>
    <row r="111" customFormat="false" ht="15" hidden="false" customHeight="false" outlineLevel="0" collapsed="false">
      <c r="A111" s="5"/>
      <c r="B111" s="5"/>
      <c r="C111" s="7" t="str">
        <f aca="false">IFERROR(VLOOKUP(B111,Sessions!$A$2:$C$51,3,FALSE()),"")</f>
        <v/>
      </c>
      <c r="D111" s="5"/>
      <c r="E111" s="5"/>
      <c r="F111" s="5"/>
      <c r="G111" s="5"/>
      <c r="H111" s="8" t="str">
        <f aca="false">IFERROR(G111/VLOOKUP(C111,Subjects!$A$2:$H$31,8,FALSE()),"")</f>
        <v/>
      </c>
      <c r="I111" s="5"/>
      <c r="J111" s="5"/>
      <c r="K111" s="5"/>
      <c r="L111" s="7" t="str">
        <f aca="false">IF(ISNUMBER(K111),10-K111,"")</f>
        <v/>
      </c>
      <c r="M111" s="5"/>
      <c r="N111" s="5"/>
      <c r="O111" s="5"/>
      <c r="P111" s="5"/>
      <c r="Q111" s="5"/>
      <c r="R111" s="5"/>
      <c r="S111" s="5"/>
      <c r="T111" s="5"/>
    </row>
    <row r="112" customFormat="false" ht="15" hidden="false" customHeight="false" outlineLevel="0" collapsed="false">
      <c r="A112" s="5"/>
      <c r="B112" s="5"/>
      <c r="C112" s="7" t="str">
        <f aca="false">IFERROR(VLOOKUP(B112,Sessions!$A$2:$C$51,3,FALSE()),"")</f>
        <v/>
      </c>
      <c r="D112" s="5"/>
      <c r="E112" s="5"/>
      <c r="F112" s="5"/>
      <c r="G112" s="5"/>
      <c r="H112" s="8" t="str">
        <f aca="false">IFERROR(G112/VLOOKUP(C112,Subjects!$A$2:$H$31,8,FALSE()),"")</f>
        <v/>
      </c>
      <c r="I112" s="5"/>
      <c r="J112" s="5"/>
      <c r="K112" s="5"/>
      <c r="L112" s="7" t="str">
        <f aca="false">IF(ISNUMBER(K112),10-K112,"")</f>
        <v/>
      </c>
      <c r="M112" s="5"/>
      <c r="N112" s="5"/>
      <c r="O112" s="5"/>
      <c r="P112" s="5"/>
      <c r="Q112" s="5"/>
      <c r="R112" s="5"/>
      <c r="S112" s="5"/>
      <c r="T112" s="5"/>
    </row>
    <row r="113" customFormat="false" ht="15" hidden="false" customHeight="false" outlineLevel="0" collapsed="false">
      <c r="A113" s="5"/>
      <c r="B113" s="5"/>
      <c r="C113" s="7" t="str">
        <f aca="false">IFERROR(VLOOKUP(B113,Sessions!$A$2:$C$51,3,FALSE()),"")</f>
        <v/>
      </c>
      <c r="D113" s="5"/>
      <c r="E113" s="5"/>
      <c r="F113" s="5"/>
      <c r="G113" s="5"/>
      <c r="H113" s="8" t="str">
        <f aca="false">IFERROR(G113/VLOOKUP(C113,Subjects!$A$2:$H$31,8,FALSE()),"")</f>
        <v/>
      </c>
      <c r="I113" s="5"/>
      <c r="J113" s="5"/>
      <c r="K113" s="5"/>
      <c r="L113" s="7" t="str">
        <f aca="false">IF(ISNUMBER(K113),10-K113,"")</f>
        <v/>
      </c>
      <c r="M113" s="5"/>
      <c r="N113" s="5"/>
      <c r="O113" s="5"/>
      <c r="P113" s="5"/>
      <c r="Q113" s="5"/>
      <c r="R113" s="5"/>
      <c r="S113" s="5"/>
      <c r="T113" s="5"/>
    </row>
    <row r="114" customFormat="false" ht="15" hidden="false" customHeight="false" outlineLevel="0" collapsed="false">
      <c r="A114" s="5"/>
      <c r="B114" s="5"/>
      <c r="C114" s="7" t="str">
        <f aca="false">IFERROR(VLOOKUP(B114,Sessions!$A$2:$C$51,3,FALSE()),"")</f>
        <v/>
      </c>
      <c r="D114" s="5"/>
      <c r="E114" s="5"/>
      <c r="F114" s="5"/>
      <c r="G114" s="5"/>
      <c r="H114" s="8" t="str">
        <f aca="false">IFERROR(G114/VLOOKUP(C114,Subjects!$A$2:$H$31,8,FALSE()),"")</f>
        <v/>
      </c>
      <c r="I114" s="5"/>
      <c r="J114" s="5"/>
      <c r="K114" s="5"/>
      <c r="L114" s="7" t="str">
        <f aca="false">IF(ISNUMBER(K114),10-K114,"")</f>
        <v/>
      </c>
      <c r="M114" s="5"/>
      <c r="N114" s="5"/>
      <c r="O114" s="5"/>
      <c r="P114" s="5"/>
      <c r="Q114" s="5"/>
      <c r="R114" s="5"/>
      <c r="S114" s="5"/>
      <c r="T114" s="5"/>
    </row>
    <row r="115" customFormat="false" ht="15" hidden="false" customHeight="false" outlineLevel="0" collapsed="false">
      <c r="A115" s="5"/>
      <c r="B115" s="5"/>
      <c r="C115" s="7" t="str">
        <f aca="false">IFERROR(VLOOKUP(B115,Sessions!$A$2:$C$51,3,FALSE()),"")</f>
        <v/>
      </c>
      <c r="D115" s="5"/>
      <c r="E115" s="5"/>
      <c r="F115" s="5"/>
      <c r="G115" s="5"/>
      <c r="H115" s="8" t="str">
        <f aca="false">IFERROR(G115/VLOOKUP(C115,Subjects!$A$2:$H$31,8,FALSE()),"")</f>
        <v/>
      </c>
      <c r="I115" s="5"/>
      <c r="J115" s="5"/>
      <c r="K115" s="5"/>
      <c r="L115" s="7" t="str">
        <f aca="false">IF(ISNUMBER(K115),10-K115,"")</f>
        <v/>
      </c>
      <c r="M115" s="5"/>
      <c r="N115" s="5"/>
      <c r="O115" s="5"/>
      <c r="P115" s="5"/>
      <c r="Q115" s="5"/>
      <c r="R115" s="5"/>
      <c r="S115" s="5"/>
      <c r="T115" s="5"/>
    </row>
    <row r="116" customFormat="false" ht="15" hidden="false" customHeight="false" outlineLevel="0" collapsed="false">
      <c r="A116" s="5"/>
      <c r="B116" s="5"/>
      <c r="C116" s="7" t="str">
        <f aca="false">IFERROR(VLOOKUP(B116,Sessions!$A$2:$C$51,3,FALSE()),"")</f>
        <v/>
      </c>
      <c r="D116" s="5"/>
      <c r="E116" s="5"/>
      <c r="F116" s="5"/>
      <c r="G116" s="5"/>
      <c r="H116" s="8" t="str">
        <f aca="false">IFERROR(G116/VLOOKUP(C116,Subjects!$A$2:$H$31,8,FALSE()),"")</f>
        <v/>
      </c>
      <c r="I116" s="5"/>
      <c r="J116" s="5"/>
      <c r="K116" s="5"/>
      <c r="L116" s="7" t="str">
        <f aca="false">IF(ISNUMBER(K116),10-K116,"")</f>
        <v/>
      </c>
      <c r="M116" s="5"/>
      <c r="N116" s="5"/>
      <c r="O116" s="5"/>
      <c r="P116" s="5"/>
      <c r="Q116" s="5"/>
      <c r="R116" s="5"/>
      <c r="S116" s="5"/>
      <c r="T116" s="5"/>
    </row>
    <row r="117" customFormat="false" ht="15" hidden="false" customHeight="false" outlineLevel="0" collapsed="false">
      <c r="A117" s="5"/>
      <c r="B117" s="5"/>
      <c r="C117" s="7" t="str">
        <f aca="false">IFERROR(VLOOKUP(B117,Sessions!$A$2:$C$51,3,FALSE()),"")</f>
        <v/>
      </c>
      <c r="D117" s="5"/>
      <c r="E117" s="5"/>
      <c r="F117" s="5"/>
      <c r="G117" s="5"/>
      <c r="H117" s="8" t="str">
        <f aca="false">IFERROR(G117/VLOOKUP(C117,Subjects!$A$2:$H$31,8,FALSE()),"")</f>
        <v/>
      </c>
      <c r="I117" s="5"/>
      <c r="J117" s="5"/>
      <c r="K117" s="5"/>
      <c r="L117" s="7" t="str">
        <f aca="false">IF(ISNUMBER(K117),10-K117,"")</f>
        <v/>
      </c>
      <c r="M117" s="5"/>
      <c r="N117" s="5"/>
      <c r="O117" s="5"/>
      <c r="P117" s="5"/>
      <c r="Q117" s="5"/>
      <c r="R117" s="5"/>
      <c r="S117" s="5"/>
      <c r="T117" s="5"/>
    </row>
    <row r="118" customFormat="false" ht="15" hidden="false" customHeight="false" outlineLevel="0" collapsed="false">
      <c r="A118" s="5"/>
      <c r="B118" s="5"/>
      <c r="C118" s="7" t="str">
        <f aca="false">IFERROR(VLOOKUP(B118,Sessions!$A$2:$C$51,3,FALSE()),"")</f>
        <v/>
      </c>
      <c r="D118" s="5"/>
      <c r="E118" s="5"/>
      <c r="F118" s="5"/>
      <c r="G118" s="5"/>
      <c r="H118" s="8" t="str">
        <f aca="false">IFERROR(G118/VLOOKUP(C118,Subjects!$A$2:$H$31,8,FALSE()),"")</f>
        <v/>
      </c>
      <c r="I118" s="5"/>
      <c r="J118" s="5"/>
      <c r="K118" s="5"/>
      <c r="L118" s="7" t="str">
        <f aca="false">IF(ISNUMBER(K118),10-K118,"")</f>
        <v/>
      </c>
      <c r="M118" s="5"/>
      <c r="N118" s="5"/>
      <c r="O118" s="5"/>
      <c r="P118" s="5"/>
      <c r="Q118" s="5"/>
      <c r="R118" s="5"/>
      <c r="S118" s="5"/>
      <c r="T118" s="5"/>
    </row>
    <row r="119" customFormat="false" ht="15" hidden="false" customHeight="false" outlineLevel="0" collapsed="false">
      <c r="A119" s="5"/>
      <c r="B119" s="5"/>
      <c r="C119" s="7" t="str">
        <f aca="false">IFERROR(VLOOKUP(B119,Sessions!$A$2:$C$51,3,FALSE()),"")</f>
        <v/>
      </c>
      <c r="D119" s="5"/>
      <c r="E119" s="5"/>
      <c r="F119" s="5"/>
      <c r="G119" s="5"/>
      <c r="H119" s="8" t="str">
        <f aca="false">IFERROR(G119/VLOOKUP(C119,Subjects!$A$2:$H$31,8,FALSE()),"")</f>
        <v/>
      </c>
      <c r="I119" s="5"/>
      <c r="J119" s="5"/>
      <c r="K119" s="5"/>
      <c r="L119" s="7" t="str">
        <f aca="false">IF(ISNUMBER(K119),10-K119,"")</f>
        <v/>
      </c>
      <c r="M119" s="5"/>
      <c r="N119" s="5"/>
      <c r="O119" s="5"/>
      <c r="P119" s="5"/>
      <c r="Q119" s="5"/>
      <c r="R119" s="5"/>
      <c r="S119" s="5"/>
      <c r="T119" s="5"/>
    </row>
    <row r="120" customFormat="false" ht="15" hidden="false" customHeight="false" outlineLevel="0" collapsed="false">
      <c r="A120" s="5"/>
      <c r="B120" s="5"/>
      <c r="C120" s="7" t="str">
        <f aca="false">IFERROR(VLOOKUP(B120,Sessions!$A$2:$C$51,3,FALSE()),"")</f>
        <v/>
      </c>
      <c r="D120" s="5"/>
      <c r="E120" s="5"/>
      <c r="F120" s="5"/>
      <c r="G120" s="5"/>
      <c r="H120" s="8" t="str">
        <f aca="false">IFERROR(G120/VLOOKUP(C120,Subjects!$A$2:$H$31,8,FALSE()),"")</f>
        <v/>
      </c>
      <c r="I120" s="5"/>
      <c r="J120" s="5"/>
      <c r="K120" s="5"/>
      <c r="L120" s="7" t="str">
        <f aca="false">IF(ISNUMBER(K120),10-K120,"")</f>
        <v/>
      </c>
      <c r="M120" s="5"/>
      <c r="N120" s="5"/>
      <c r="O120" s="5"/>
      <c r="P120" s="5"/>
      <c r="Q120" s="5"/>
      <c r="R120" s="5"/>
      <c r="S120" s="5"/>
      <c r="T120" s="5"/>
    </row>
    <row r="121" customFormat="false" ht="15" hidden="false" customHeight="false" outlineLevel="0" collapsed="false">
      <c r="A121" s="5"/>
      <c r="B121" s="5"/>
      <c r="C121" s="7" t="str">
        <f aca="false">IFERROR(VLOOKUP(B121,Sessions!$A$2:$C$51,3,FALSE()),"")</f>
        <v/>
      </c>
      <c r="D121" s="5"/>
      <c r="E121" s="5"/>
      <c r="F121" s="5"/>
      <c r="G121" s="5"/>
      <c r="H121" s="8" t="str">
        <f aca="false">IFERROR(G121/VLOOKUP(C121,Subjects!$A$2:$H$31,8,FALSE()),"")</f>
        <v/>
      </c>
      <c r="I121" s="5"/>
      <c r="J121" s="5"/>
      <c r="K121" s="5"/>
      <c r="L121" s="7" t="str">
        <f aca="false">IF(ISNUMBER(K121),10-K121,"")</f>
        <v/>
      </c>
      <c r="M121" s="5"/>
      <c r="N121" s="5"/>
      <c r="O121" s="5"/>
      <c r="P121" s="5"/>
      <c r="Q121" s="5"/>
      <c r="R121" s="5"/>
      <c r="S121" s="5"/>
      <c r="T121" s="5"/>
    </row>
    <row r="122" customFormat="false" ht="15" hidden="false" customHeight="false" outlineLevel="0" collapsed="false">
      <c r="A122" s="5"/>
      <c r="B122" s="5"/>
      <c r="C122" s="7" t="str">
        <f aca="false">IFERROR(VLOOKUP(B122,Sessions!$A$2:$C$51,3,FALSE()),"")</f>
        <v/>
      </c>
      <c r="D122" s="5"/>
      <c r="E122" s="5"/>
      <c r="F122" s="5"/>
      <c r="G122" s="5"/>
      <c r="H122" s="8" t="str">
        <f aca="false">IFERROR(G122/VLOOKUP(C122,Subjects!$A$2:$H$31,8,FALSE()),"")</f>
        <v/>
      </c>
      <c r="I122" s="5"/>
      <c r="J122" s="5"/>
      <c r="K122" s="5"/>
      <c r="L122" s="7" t="str">
        <f aca="false">IF(ISNUMBER(K122),10-K122,"")</f>
        <v/>
      </c>
      <c r="M122" s="5"/>
      <c r="N122" s="5"/>
      <c r="O122" s="5"/>
      <c r="P122" s="5"/>
      <c r="Q122" s="5"/>
      <c r="R122" s="5"/>
      <c r="S122" s="5"/>
      <c r="T122" s="5"/>
    </row>
    <row r="123" customFormat="false" ht="15" hidden="false" customHeight="false" outlineLevel="0" collapsed="false">
      <c r="A123" s="5"/>
      <c r="B123" s="5"/>
      <c r="C123" s="7" t="str">
        <f aca="false">IFERROR(VLOOKUP(B123,Sessions!$A$2:$C$51,3,FALSE()),"")</f>
        <v/>
      </c>
      <c r="D123" s="5"/>
      <c r="E123" s="5"/>
      <c r="F123" s="5"/>
      <c r="G123" s="5"/>
      <c r="H123" s="8" t="str">
        <f aca="false">IFERROR(G123/VLOOKUP(C123,Subjects!$A$2:$H$31,8,FALSE()),"")</f>
        <v/>
      </c>
      <c r="I123" s="5"/>
      <c r="J123" s="5"/>
      <c r="K123" s="5"/>
      <c r="L123" s="7" t="str">
        <f aca="false">IF(ISNUMBER(K123),10-K123,"")</f>
        <v/>
      </c>
      <c r="M123" s="5"/>
      <c r="N123" s="5"/>
      <c r="O123" s="5"/>
      <c r="P123" s="5"/>
      <c r="Q123" s="5"/>
      <c r="R123" s="5"/>
      <c r="S123" s="5"/>
      <c r="T123" s="5"/>
    </row>
    <row r="124" customFormat="false" ht="15" hidden="false" customHeight="false" outlineLevel="0" collapsed="false">
      <c r="A124" s="5"/>
      <c r="B124" s="5"/>
      <c r="C124" s="7" t="str">
        <f aca="false">IFERROR(VLOOKUP(B124,Sessions!$A$2:$C$51,3,FALSE()),"")</f>
        <v/>
      </c>
      <c r="D124" s="5"/>
      <c r="E124" s="5"/>
      <c r="F124" s="5"/>
      <c r="G124" s="5"/>
      <c r="H124" s="8" t="str">
        <f aca="false">IFERROR(G124/VLOOKUP(C124,Subjects!$A$2:$H$31,8,FALSE()),"")</f>
        <v/>
      </c>
      <c r="I124" s="5"/>
      <c r="J124" s="5"/>
      <c r="K124" s="5"/>
      <c r="L124" s="7" t="str">
        <f aca="false">IF(ISNUMBER(K124),10-K124,"")</f>
        <v/>
      </c>
      <c r="M124" s="5"/>
      <c r="N124" s="5"/>
      <c r="O124" s="5"/>
      <c r="P124" s="5"/>
      <c r="Q124" s="5"/>
      <c r="R124" s="5"/>
      <c r="S124" s="5"/>
      <c r="T124" s="5"/>
    </row>
    <row r="125" customFormat="false" ht="15" hidden="false" customHeight="false" outlineLevel="0" collapsed="false">
      <c r="A125" s="5"/>
      <c r="B125" s="5"/>
      <c r="C125" s="7" t="str">
        <f aca="false">IFERROR(VLOOKUP(B125,Sessions!$A$2:$C$51,3,FALSE()),"")</f>
        <v/>
      </c>
      <c r="D125" s="5"/>
      <c r="E125" s="5"/>
      <c r="F125" s="5"/>
      <c r="G125" s="5"/>
      <c r="H125" s="8" t="str">
        <f aca="false">IFERROR(G125/VLOOKUP(C125,Subjects!$A$2:$H$31,8,FALSE()),"")</f>
        <v/>
      </c>
      <c r="I125" s="5"/>
      <c r="J125" s="5"/>
      <c r="K125" s="5"/>
      <c r="L125" s="7" t="str">
        <f aca="false">IF(ISNUMBER(K125),10-K125,"")</f>
        <v/>
      </c>
      <c r="M125" s="5"/>
      <c r="N125" s="5"/>
      <c r="O125" s="5"/>
      <c r="P125" s="5"/>
      <c r="Q125" s="5"/>
      <c r="R125" s="5"/>
      <c r="S125" s="5"/>
      <c r="T125" s="5"/>
    </row>
    <row r="126" customFormat="false" ht="15" hidden="false" customHeight="false" outlineLevel="0" collapsed="false">
      <c r="A126" s="5"/>
      <c r="B126" s="5"/>
      <c r="C126" s="7" t="str">
        <f aca="false">IFERROR(VLOOKUP(B126,Sessions!$A$2:$C$51,3,FALSE()),"")</f>
        <v/>
      </c>
      <c r="D126" s="5"/>
      <c r="E126" s="5"/>
      <c r="F126" s="5"/>
      <c r="G126" s="5"/>
      <c r="H126" s="8" t="str">
        <f aca="false">IFERROR(G126/VLOOKUP(C126,Subjects!$A$2:$H$31,8,FALSE()),"")</f>
        <v/>
      </c>
      <c r="I126" s="5"/>
      <c r="J126" s="5"/>
      <c r="K126" s="5"/>
      <c r="L126" s="7" t="str">
        <f aca="false">IF(ISNUMBER(K126),10-K126,"")</f>
        <v/>
      </c>
      <c r="M126" s="5"/>
      <c r="N126" s="5"/>
      <c r="O126" s="5"/>
      <c r="P126" s="5"/>
      <c r="Q126" s="5"/>
      <c r="R126" s="5"/>
      <c r="S126" s="5"/>
      <c r="T126" s="5"/>
    </row>
    <row r="127" customFormat="false" ht="15" hidden="false" customHeight="false" outlineLevel="0" collapsed="false">
      <c r="A127" s="5"/>
      <c r="B127" s="5"/>
      <c r="C127" s="7" t="str">
        <f aca="false">IFERROR(VLOOKUP(B127,Sessions!$A$2:$C$51,3,FALSE()),"")</f>
        <v/>
      </c>
      <c r="D127" s="5"/>
      <c r="E127" s="5"/>
      <c r="F127" s="5"/>
      <c r="G127" s="5"/>
      <c r="H127" s="8" t="str">
        <f aca="false">IFERROR(G127/VLOOKUP(C127,Subjects!$A$2:$H$31,8,FALSE()),"")</f>
        <v/>
      </c>
      <c r="I127" s="5"/>
      <c r="J127" s="5"/>
      <c r="K127" s="5"/>
      <c r="L127" s="7" t="str">
        <f aca="false">IF(ISNUMBER(K127),10-K127,"")</f>
        <v/>
      </c>
      <c r="M127" s="5"/>
      <c r="N127" s="5"/>
      <c r="O127" s="5"/>
      <c r="P127" s="5"/>
      <c r="Q127" s="5"/>
      <c r="R127" s="5"/>
      <c r="S127" s="5"/>
      <c r="T127" s="5"/>
    </row>
    <row r="128" customFormat="false" ht="15" hidden="false" customHeight="false" outlineLevel="0" collapsed="false">
      <c r="A128" s="5"/>
      <c r="B128" s="5"/>
      <c r="C128" s="7" t="str">
        <f aca="false">IFERROR(VLOOKUP(B128,Sessions!$A$2:$C$51,3,FALSE()),"")</f>
        <v/>
      </c>
      <c r="D128" s="5"/>
      <c r="E128" s="5"/>
      <c r="F128" s="5"/>
      <c r="G128" s="5"/>
      <c r="H128" s="8" t="str">
        <f aca="false">IFERROR(G128/VLOOKUP(C128,Subjects!$A$2:$H$31,8,FALSE()),"")</f>
        <v/>
      </c>
      <c r="I128" s="5"/>
      <c r="J128" s="5"/>
      <c r="K128" s="5"/>
      <c r="L128" s="7" t="str">
        <f aca="false">IF(ISNUMBER(K128),10-K128,"")</f>
        <v/>
      </c>
      <c r="M128" s="5"/>
      <c r="N128" s="5"/>
      <c r="O128" s="5"/>
      <c r="P128" s="5"/>
      <c r="Q128" s="5"/>
      <c r="R128" s="5"/>
      <c r="S128" s="5"/>
      <c r="T128" s="5"/>
    </row>
    <row r="129" customFormat="false" ht="15" hidden="false" customHeight="false" outlineLevel="0" collapsed="false">
      <c r="A129" s="5"/>
      <c r="B129" s="5"/>
      <c r="C129" s="7" t="str">
        <f aca="false">IFERROR(VLOOKUP(B129,Sessions!$A$2:$C$51,3,FALSE()),"")</f>
        <v/>
      </c>
      <c r="D129" s="5"/>
      <c r="E129" s="5"/>
      <c r="F129" s="5"/>
      <c r="G129" s="5"/>
      <c r="H129" s="8" t="str">
        <f aca="false">IFERROR(G129/VLOOKUP(C129,Subjects!$A$2:$H$31,8,FALSE()),"")</f>
        <v/>
      </c>
      <c r="I129" s="5"/>
      <c r="J129" s="5"/>
      <c r="K129" s="5"/>
      <c r="L129" s="7" t="str">
        <f aca="false">IF(ISNUMBER(K129),10-K129,"")</f>
        <v/>
      </c>
      <c r="M129" s="5"/>
      <c r="N129" s="5"/>
      <c r="O129" s="5"/>
      <c r="P129" s="5"/>
      <c r="Q129" s="5"/>
      <c r="R129" s="5"/>
      <c r="S129" s="5"/>
      <c r="T129" s="5"/>
    </row>
    <row r="130" customFormat="false" ht="15" hidden="false" customHeight="false" outlineLevel="0" collapsed="false">
      <c r="A130" s="5"/>
      <c r="B130" s="5"/>
      <c r="C130" s="7" t="str">
        <f aca="false">IFERROR(VLOOKUP(B130,Sessions!$A$2:$C$51,3,FALSE()),"")</f>
        <v/>
      </c>
      <c r="D130" s="5"/>
      <c r="E130" s="5"/>
      <c r="F130" s="5"/>
      <c r="G130" s="5"/>
      <c r="H130" s="8" t="str">
        <f aca="false">IFERROR(G130/VLOOKUP(C130,Subjects!$A$2:$H$31,8,FALSE()),"")</f>
        <v/>
      </c>
      <c r="I130" s="5"/>
      <c r="J130" s="5"/>
      <c r="K130" s="5"/>
      <c r="L130" s="7" t="str">
        <f aca="false">IF(ISNUMBER(K130),10-K130,"")</f>
        <v/>
      </c>
      <c r="M130" s="5"/>
      <c r="N130" s="5"/>
      <c r="O130" s="5"/>
      <c r="P130" s="5"/>
      <c r="Q130" s="5"/>
      <c r="R130" s="5"/>
      <c r="S130" s="5"/>
      <c r="T130" s="5"/>
    </row>
    <row r="131" customFormat="false" ht="15" hidden="false" customHeight="false" outlineLevel="0" collapsed="false">
      <c r="A131" s="5"/>
      <c r="B131" s="5"/>
      <c r="C131" s="7" t="str">
        <f aca="false">IFERROR(VLOOKUP(B131,Sessions!$A$2:$C$51,3,FALSE()),"")</f>
        <v/>
      </c>
      <c r="D131" s="5"/>
      <c r="E131" s="5"/>
      <c r="F131" s="5"/>
      <c r="G131" s="5"/>
      <c r="H131" s="8" t="str">
        <f aca="false">IFERROR(G131/VLOOKUP(C131,Subjects!$A$2:$H$31,8,FALSE()),"")</f>
        <v/>
      </c>
      <c r="I131" s="5"/>
      <c r="J131" s="5"/>
      <c r="K131" s="5"/>
      <c r="L131" s="7" t="str">
        <f aca="false">IF(ISNUMBER(K131),10-K131,"")</f>
        <v/>
      </c>
      <c r="M131" s="5"/>
      <c r="N131" s="5"/>
      <c r="O131" s="5"/>
      <c r="P131" s="5"/>
      <c r="Q131" s="5"/>
      <c r="R131" s="5"/>
      <c r="S131" s="5"/>
      <c r="T131" s="5"/>
    </row>
    <row r="132" customFormat="false" ht="15" hidden="false" customHeight="false" outlineLevel="0" collapsed="false">
      <c r="A132" s="5"/>
      <c r="B132" s="5"/>
      <c r="C132" s="7" t="str">
        <f aca="false">IFERROR(VLOOKUP(B132,Sessions!$A$2:$C$51,3,FALSE()),"")</f>
        <v/>
      </c>
      <c r="D132" s="5"/>
      <c r="E132" s="5"/>
      <c r="F132" s="5"/>
      <c r="G132" s="5"/>
      <c r="H132" s="8" t="str">
        <f aca="false">IFERROR(G132/VLOOKUP(C132,Subjects!$A$2:$H$31,8,FALSE()),"")</f>
        <v/>
      </c>
      <c r="I132" s="5"/>
      <c r="J132" s="5"/>
      <c r="K132" s="5"/>
      <c r="L132" s="7" t="str">
        <f aca="false">IF(ISNUMBER(K132),10-K132,"")</f>
        <v/>
      </c>
      <c r="M132" s="5"/>
      <c r="N132" s="5"/>
      <c r="O132" s="5"/>
      <c r="P132" s="5"/>
      <c r="Q132" s="5"/>
      <c r="R132" s="5"/>
      <c r="S132" s="5"/>
      <c r="T132" s="5"/>
    </row>
    <row r="133" customFormat="false" ht="15" hidden="false" customHeight="false" outlineLevel="0" collapsed="false">
      <c r="A133" s="5"/>
      <c r="B133" s="5"/>
      <c r="C133" s="7" t="str">
        <f aca="false">IFERROR(VLOOKUP(B133,Sessions!$A$2:$C$51,3,FALSE()),"")</f>
        <v/>
      </c>
      <c r="D133" s="5"/>
      <c r="E133" s="5"/>
      <c r="F133" s="5"/>
      <c r="G133" s="5"/>
      <c r="H133" s="8" t="str">
        <f aca="false">IFERROR(G133/VLOOKUP(C133,Subjects!$A$2:$H$31,8,FALSE()),"")</f>
        <v/>
      </c>
      <c r="I133" s="5"/>
      <c r="J133" s="5"/>
      <c r="K133" s="5"/>
      <c r="L133" s="7" t="str">
        <f aca="false">IF(ISNUMBER(K133),10-K133,"")</f>
        <v/>
      </c>
      <c r="M133" s="5"/>
      <c r="N133" s="5"/>
      <c r="O133" s="5"/>
      <c r="P133" s="5"/>
      <c r="Q133" s="5"/>
      <c r="R133" s="5"/>
      <c r="S133" s="5"/>
      <c r="T133" s="5"/>
    </row>
    <row r="134" customFormat="false" ht="15" hidden="false" customHeight="false" outlineLevel="0" collapsed="false">
      <c r="A134" s="5"/>
      <c r="B134" s="5"/>
      <c r="C134" s="7" t="str">
        <f aca="false">IFERROR(VLOOKUP(B134,Sessions!$A$2:$C$51,3,FALSE()),"")</f>
        <v/>
      </c>
      <c r="D134" s="5"/>
      <c r="E134" s="5"/>
      <c r="F134" s="5"/>
      <c r="G134" s="5"/>
      <c r="H134" s="8" t="str">
        <f aca="false">IFERROR(G134/VLOOKUP(C134,Subjects!$A$2:$H$31,8,FALSE()),"")</f>
        <v/>
      </c>
      <c r="I134" s="5"/>
      <c r="J134" s="5"/>
      <c r="K134" s="5"/>
      <c r="L134" s="7" t="str">
        <f aca="false">IF(ISNUMBER(K134),10-K134,"")</f>
        <v/>
      </c>
      <c r="M134" s="5"/>
      <c r="N134" s="5"/>
      <c r="O134" s="5"/>
      <c r="P134" s="5"/>
      <c r="Q134" s="5"/>
      <c r="R134" s="5"/>
      <c r="S134" s="5"/>
      <c r="T134" s="5"/>
    </row>
    <row r="135" customFormat="false" ht="15" hidden="false" customHeight="false" outlineLevel="0" collapsed="false">
      <c r="A135" s="5"/>
      <c r="B135" s="5"/>
      <c r="C135" s="7" t="str">
        <f aca="false">IFERROR(VLOOKUP(B135,Sessions!$A$2:$C$51,3,FALSE()),"")</f>
        <v/>
      </c>
      <c r="D135" s="5"/>
      <c r="E135" s="5"/>
      <c r="F135" s="5"/>
      <c r="G135" s="5"/>
      <c r="H135" s="8" t="str">
        <f aca="false">IFERROR(G135/VLOOKUP(C135,Subjects!$A$2:$H$31,8,FALSE()),"")</f>
        <v/>
      </c>
      <c r="I135" s="5"/>
      <c r="J135" s="5"/>
      <c r="K135" s="5"/>
      <c r="L135" s="7" t="str">
        <f aca="false">IF(ISNUMBER(K135),10-K135,"")</f>
        <v/>
      </c>
      <c r="M135" s="5"/>
      <c r="N135" s="5"/>
      <c r="O135" s="5"/>
      <c r="P135" s="5"/>
      <c r="Q135" s="5"/>
      <c r="R135" s="5"/>
      <c r="S135" s="5"/>
      <c r="T135" s="5"/>
    </row>
    <row r="136" customFormat="false" ht="15" hidden="false" customHeight="false" outlineLevel="0" collapsed="false">
      <c r="A136" s="5"/>
      <c r="B136" s="5"/>
      <c r="C136" s="7" t="str">
        <f aca="false">IFERROR(VLOOKUP(B136,Sessions!$A$2:$C$51,3,FALSE()),"")</f>
        <v/>
      </c>
      <c r="D136" s="5"/>
      <c r="E136" s="5"/>
      <c r="F136" s="5"/>
      <c r="G136" s="5"/>
      <c r="H136" s="8" t="str">
        <f aca="false">IFERROR(G136/VLOOKUP(C136,Subjects!$A$2:$H$31,8,FALSE()),"")</f>
        <v/>
      </c>
      <c r="I136" s="5"/>
      <c r="J136" s="5"/>
      <c r="K136" s="5"/>
      <c r="L136" s="7" t="str">
        <f aca="false">IF(ISNUMBER(K136),10-K136,"")</f>
        <v/>
      </c>
      <c r="M136" s="5"/>
      <c r="N136" s="5"/>
      <c r="O136" s="5"/>
      <c r="P136" s="5"/>
      <c r="Q136" s="5"/>
      <c r="R136" s="5"/>
      <c r="S136" s="5"/>
      <c r="T136" s="5"/>
    </row>
    <row r="137" customFormat="false" ht="15" hidden="false" customHeight="false" outlineLevel="0" collapsed="false">
      <c r="A137" s="5"/>
      <c r="B137" s="5"/>
      <c r="C137" s="7" t="str">
        <f aca="false">IFERROR(VLOOKUP(B137,Sessions!$A$2:$C$51,3,FALSE()),"")</f>
        <v/>
      </c>
      <c r="D137" s="5"/>
      <c r="E137" s="5"/>
      <c r="F137" s="5"/>
      <c r="G137" s="5"/>
      <c r="H137" s="8" t="str">
        <f aca="false">IFERROR(G137/VLOOKUP(C137,Subjects!$A$2:$H$31,8,FALSE()),"")</f>
        <v/>
      </c>
      <c r="I137" s="5"/>
      <c r="J137" s="5"/>
      <c r="K137" s="5"/>
      <c r="L137" s="7" t="str">
        <f aca="false">IF(ISNUMBER(K137),10-K137,"")</f>
        <v/>
      </c>
      <c r="M137" s="5"/>
      <c r="N137" s="5"/>
      <c r="O137" s="5"/>
      <c r="P137" s="5"/>
      <c r="Q137" s="5"/>
      <c r="R137" s="5"/>
      <c r="S137" s="5"/>
      <c r="T137" s="5"/>
    </row>
    <row r="138" customFormat="false" ht="15" hidden="false" customHeight="false" outlineLevel="0" collapsed="false">
      <c r="A138" s="5"/>
      <c r="B138" s="5"/>
      <c r="C138" s="7" t="str">
        <f aca="false">IFERROR(VLOOKUP(B138,Sessions!$A$2:$C$51,3,FALSE()),"")</f>
        <v/>
      </c>
      <c r="D138" s="5"/>
      <c r="E138" s="5"/>
      <c r="F138" s="5"/>
      <c r="G138" s="5"/>
      <c r="H138" s="8" t="str">
        <f aca="false">IFERROR(G138/VLOOKUP(C138,Subjects!$A$2:$H$31,8,FALSE()),"")</f>
        <v/>
      </c>
      <c r="I138" s="5"/>
      <c r="J138" s="5"/>
      <c r="K138" s="5"/>
      <c r="L138" s="7" t="str">
        <f aca="false">IF(ISNUMBER(K138),10-K138,"")</f>
        <v/>
      </c>
      <c r="M138" s="5"/>
      <c r="N138" s="5"/>
      <c r="O138" s="5"/>
      <c r="P138" s="5"/>
      <c r="Q138" s="5"/>
      <c r="R138" s="5"/>
      <c r="S138" s="5"/>
      <c r="T138" s="5"/>
    </row>
    <row r="139" customFormat="false" ht="15" hidden="false" customHeight="false" outlineLevel="0" collapsed="false">
      <c r="A139" s="5"/>
      <c r="B139" s="5"/>
      <c r="C139" s="7" t="str">
        <f aca="false">IFERROR(VLOOKUP(B139,Sessions!$A$2:$C$51,3,FALSE()),"")</f>
        <v/>
      </c>
      <c r="D139" s="5"/>
      <c r="E139" s="5"/>
      <c r="F139" s="5"/>
      <c r="G139" s="5"/>
      <c r="H139" s="8" t="str">
        <f aca="false">IFERROR(G139/VLOOKUP(C139,Subjects!$A$2:$H$31,8,FALSE()),"")</f>
        <v/>
      </c>
      <c r="I139" s="5"/>
      <c r="J139" s="5"/>
      <c r="K139" s="5"/>
      <c r="L139" s="7" t="str">
        <f aca="false">IF(ISNUMBER(K139),10-K139,"")</f>
        <v/>
      </c>
      <c r="M139" s="5"/>
      <c r="N139" s="5"/>
      <c r="O139" s="5"/>
      <c r="P139" s="5"/>
      <c r="Q139" s="5"/>
      <c r="R139" s="5"/>
      <c r="S139" s="5"/>
      <c r="T139" s="5"/>
    </row>
    <row r="140" customFormat="false" ht="15" hidden="false" customHeight="false" outlineLevel="0" collapsed="false">
      <c r="A140" s="5"/>
      <c r="B140" s="5"/>
      <c r="C140" s="7" t="str">
        <f aca="false">IFERROR(VLOOKUP(B140,Sessions!$A$2:$C$51,3,FALSE()),"")</f>
        <v/>
      </c>
      <c r="D140" s="5"/>
      <c r="E140" s="5"/>
      <c r="F140" s="5"/>
      <c r="G140" s="5"/>
      <c r="H140" s="8" t="str">
        <f aca="false">IFERROR(G140/VLOOKUP(C140,Subjects!$A$2:$H$31,8,FALSE()),"")</f>
        <v/>
      </c>
      <c r="I140" s="5"/>
      <c r="J140" s="5"/>
      <c r="K140" s="5"/>
      <c r="L140" s="7" t="str">
        <f aca="false">IF(ISNUMBER(K140),10-K140,"")</f>
        <v/>
      </c>
      <c r="M140" s="5"/>
      <c r="N140" s="5"/>
      <c r="O140" s="5"/>
      <c r="P140" s="5"/>
      <c r="Q140" s="5"/>
      <c r="R140" s="5"/>
      <c r="S140" s="5"/>
      <c r="T140" s="5"/>
    </row>
    <row r="141" customFormat="false" ht="15" hidden="false" customHeight="false" outlineLevel="0" collapsed="false">
      <c r="A141" s="5"/>
      <c r="B141" s="5"/>
      <c r="C141" s="7" t="str">
        <f aca="false">IFERROR(VLOOKUP(B141,Sessions!$A$2:$C$51,3,FALSE()),"")</f>
        <v/>
      </c>
      <c r="D141" s="5"/>
      <c r="E141" s="5"/>
      <c r="F141" s="5"/>
      <c r="G141" s="5"/>
      <c r="H141" s="8" t="str">
        <f aca="false">IFERROR(G141/VLOOKUP(C141,Subjects!$A$2:$H$31,8,FALSE()),"")</f>
        <v/>
      </c>
      <c r="I141" s="5"/>
      <c r="J141" s="5"/>
      <c r="K141" s="5"/>
      <c r="L141" s="7" t="str">
        <f aca="false">IF(ISNUMBER(K141),10-K141,"")</f>
        <v/>
      </c>
      <c r="M141" s="5"/>
      <c r="N141" s="5"/>
      <c r="O141" s="5"/>
      <c r="P141" s="5"/>
      <c r="Q141" s="5"/>
      <c r="R141" s="5"/>
      <c r="S141" s="5"/>
      <c r="T141" s="5"/>
    </row>
    <row r="142" customFormat="false" ht="15" hidden="false" customHeight="false" outlineLevel="0" collapsed="false">
      <c r="A142" s="5"/>
      <c r="B142" s="5"/>
      <c r="C142" s="7" t="str">
        <f aca="false">IFERROR(VLOOKUP(B142,Sessions!$A$2:$C$51,3,FALSE()),"")</f>
        <v/>
      </c>
      <c r="D142" s="5"/>
      <c r="E142" s="5"/>
      <c r="F142" s="5"/>
      <c r="G142" s="5"/>
      <c r="H142" s="8" t="str">
        <f aca="false">IFERROR(G142/VLOOKUP(C142,Subjects!$A$2:$H$31,8,FALSE()),"")</f>
        <v/>
      </c>
      <c r="I142" s="5"/>
      <c r="J142" s="5"/>
      <c r="K142" s="5"/>
      <c r="L142" s="7" t="str">
        <f aca="false">IF(ISNUMBER(K142),10-K142,"")</f>
        <v/>
      </c>
      <c r="M142" s="5"/>
      <c r="N142" s="5"/>
      <c r="O142" s="5"/>
      <c r="P142" s="5"/>
      <c r="Q142" s="5"/>
      <c r="R142" s="5"/>
      <c r="S142" s="5"/>
      <c r="T142" s="5"/>
    </row>
    <row r="143" customFormat="false" ht="15" hidden="false" customHeight="false" outlineLevel="0" collapsed="false">
      <c r="A143" s="5"/>
      <c r="B143" s="5"/>
      <c r="C143" s="7" t="str">
        <f aca="false">IFERROR(VLOOKUP(B143,Sessions!$A$2:$C$51,3,FALSE()),"")</f>
        <v/>
      </c>
      <c r="D143" s="5"/>
      <c r="E143" s="5"/>
      <c r="F143" s="5"/>
      <c r="G143" s="5"/>
      <c r="H143" s="8" t="str">
        <f aca="false">IFERROR(G143/VLOOKUP(C143,Subjects!$A$2:$H$31,8,FALSE()),"")</f>
        <v/>
      </c>
      <c r="I143" s="5"/>
      <c r="J143" s="5"/>
      <c r="K143" s="5"/>
      <c r="L143" s="7" t="str">
        <f aca="false">IF(ISNUMBER(K143),10-K143,"")</f>
        <v/>
      </c>
      <c r="M143" s="5"/>
      <c r="N143" s="5"/>
      <c r="O143" s="5"/>
      <c r="P143" s="5"/>
      <c r="Q143" s="5"/>
      <c r="R143" s="5"/>
      <c r="S143" s="5"/>
      <c r="T143" s="5"/>
    </row>
    <row r="144" customFormat="false" ht="15" hidden="false" customHeight="false" outlineLevel="0" collapsed="false">
      <c r="A144" s="5"/>
      <c r="B144" s="5"/>
      <c r="C144" s="7" t="str">
        <f aca="false">IFERROR(VLOOKUP(B144,Sessions!$A$2:$C$51,3,FALSE()),"")</f>
        <v/>
      </c>
      <c r="D144" s="5"/>
      <c r="E144" s="5"/>
      <c r="F144" s="5"/>
      <c r="G144" s="5"/>
      <c r="H144" s="8" t="str">
        <f aca="false">IFERROR(G144/VLOOKUP(C144,Subjects!$A$2:$H$31,8,FALSE()),"")</f>
        <v/>
      </c>
      <c r="I144" s="5"/>
      <c r="J144" s="5"/>
      <c r="K144" s="5"/>
      <c r="L144" s="7" t="str">
        <f aca="false">IF(ISNUMBER(K144),10-K144,"")</f>
        <v/>
      </c>
      <c r="M144" s="5"/>
      <c r="N144" s="5"/>
      <c r="O144" s="5"/>
      <c r="P144" s="5"/>
      <c r="Q144" s="5"/>
      <c r="R144" s="5"/>
      <c r="S144" s="5"/>
      <c r="T144" s="5"/>
    </row>
    <row r="145" customFormat="false" ht="15" hidden="false" customHeight="false" outlineLevel="0" collapsed="false">
      <c r="A145" s="5"/>
      <c r="B145" s="5"/>
      <c r="C145" s="7" t="str">
        <f aca="false">IFERROR(VLOOKUP(B145,Sessions!$A$2:$C$51,3,FALSE()),"")</f>
        <v/>
      </c>
      <c r="D145" s="5"/>
      <c r="E145" s="5"/>
      <c r="F145" s="5"/>
      <c r="G145" s="5"/>
      <c r="H145" s="8" t="str">
        <f aca="false">IFERROR(G145/VLOOKUP(C145,Subjects!$A$2:$H$31,8,FALSE()),"")</f>
        <v/>
      </c>
      <c r="I145" s="5"/>
      <c r="J145" s="5"/>
      <c r="K145" s="5"/>
      <c r="L145" s="7" t="str">
        <f aca="false">IF(ISNUMBER(K145),10-K145,"")</f>
        <v/>
      </c>
      <c r="M145" s="5"/>
      <c r="N145" s="5"/>
      <c r="O145" s="5"/>
      <c r="P145" s="5"/>
      <c r="Q145" s="5"/>
      <c r="R145" s="5"/>
      <c r="S145" s="5"/>
      <c r="T145" s="5"/>
    </row>
    <row r="146" customFormat="false" ht="15" hidden="false" customHeight="false" outlineLevel="0" collapsed="false">
      <c r="A146" s="5"/>
      <c r="B146" s="5"/>
      <c r="C146" s="7" t="str">
        <f aca="false">IFERROR(VLOOKUP(B146,Sessions!$A$2:$C$51,3,FALSE()),"")</f>
        <v/>
      </c>
      <c r="D146" s="5"/>
      <c r="E146" s="5"/>
      <c r="F146" s="5"/>
      <c r="G146" s="5"/>
      <c r="H146" s="8" t="str">
        <f aca="false">IFERROR(G146/VLOOKUP(C146,Subjects!$A$2:$H$31,8,FALSE()),"")</f>
        <v/>
      </c>
      <c r="I146" s="5"/>
      <c r="J146" s="5"/>
      <c r="K146" s="5"/>
      <c r="L146" s="7" t="str">
        <f aca="false">IF(ISNUMBER(K146),10-K146,"")</f>
        <v/>
      </c>
      <c r="M146" s="5"/>
      <c r="N146" s="5"/>
      <c r="O146" s="5"/>
      <c r="P146" s="5"/>
      <c r="Q146" s="5"/>
      <c r="R146" s="5"/>
      <c r="S146" s="5"/>
      <c r="T146" s="5"/>
    </row>
    <row r="147" customFormat="false" ht="15" hidden="false" customHeight="false" outlineLevel="0" collapsed="false">
      <c r="A147" s="5"/>
      <c r="B147" s="5"/>
      <c r="C147" s="7" t="str">
        <f aca="false">IFERROR(VLOOKUP(B147,Sessions!$A$2:$C$51,3,FALSE()),"")</f>
        <v/>
      </c>
      <c r="D147" s="5"/>
      <c r="E147" s="5"/>
      <c r="F147" s="5"/>
      <c r="G147" s="5"/>
      <c r="H147" s="8" t="str">
        <f aca="false">IFERROR(G147/VLOOKUP(C147,Subjects!$A$2:$H$31,8,FALSE()),"")</f>
        <v/>
      </c>
      <c r="I147" s="5"/>
      <c r="J147" s="5"/>
      <c r="K147" s="5"/>
      <c r="L147" s="7" t="str">
        <f aca="false">IF(ISNUMBER(K147),10-K147,"")</f>
        <v/>
      </c>
      <c r="M147" s="5"/>
      <c r="N147" s="5"/>
      <c r="O147" s="5"/>
      <c r="P147" s="5"/>
      <c r="Q147" s="5"/>
      <c r="R147" s="5"/>
      <c r="S147" s="5"/>
      <c r="T147" s="5"/>
    </row>
    <row r="148" customFormat="false" ht="15" hidden="false" customHeight="false" outlineLevel="0" collapsed="false">
      <c r="A148" s="5"/>
      <c r="B148" s="5"/>
      <c r="C148" s="7" t="str">
        <f aca="false">IFERROR(VLOOKUP(B148,Sessions!$A$2:$C$51,3,FALSE()),"")</f>
        <v/>
      </c>
      <c r="D148" s="5"/>
      <c r="E148" s="5"/>
      <c r="F148" s="5"/>
      <c r="G148" s="5"/>
      <c r="H148" s="8" t="str">
        <f aca="false">IFERROR(G148/VLOOKUP(C148,Subjects!$A$2:$H$31,8,FALSE()),"")</f>
        <v/>
      </c>
      <c r="I148" s="5"/>
      <c r="J148" s="5"/>
      <c r="K148" s="5"/>
      <c r="L148" s="7" t="str">
        <f aca="false">IF(ISNUMBER(K148),10-K148,"")</f>
        <v/>
      </c>
      <c r="M148" s="5"/>
      <c r="N148" s="5"/>
      <c r="O148" s="5"/>
      <c r="P148" s="5"/>
      <c r="Q148" s="5"/>
      <c r="R148" s="5"/>
      <c r="S148" s="5"/>
      <c r="T148" s="5"/>
    </row>
    <row r="149" customFormat="false" ht="15" hidden="false" customHeight="false" outlineLevel="0" collapsed="false">
      <c r="A149" s="5"/>
      <c r="B149" s="5"/>
      <c r="C149" s="7" t="str">
        <f aca="false">IFERROR(VLOOKUP(B149,Sessions!$A$2:$C$51,3,FALSE()),"")</f>
        <v/>
      </c>
      <c r="D149" s="5"/>
      <c r="E149" s="5"/>
      <c r="F149" s="5"/>
      <c r="G149" s="5"/>
      <c r="H149" s="8" t="str">
        <f aca="false">IFERROR(G149/VLOOKUP(C149,Subjects!$A$2:$H$31,8,FALSE()),"")</f>
        <v/>
      </c>
      <c r="I149" s="5"/>
      <c r="J149" s="5"/>
      <c r="K149" s="5"/>
      <c r="L149" s="7" t="str">
        <f aca="false">IF(ISNUMBER(K149),10-K149,"")</f>
        <v/>
      </c>
      <c r="M149" s="5"/>
      <c r="N149" s="5"/>
      <c r="O149" s="5"/>
      <c r="P149" s="5"/>
      <c r="Q149" s="5"/>
      <c r="R149" s="5"/>
      <c r="S149" s="5"/>
      <c r="T149" s="5"/>
    </row>
    <row r="150" customFormat="false" ht="15" hidden="false" customHeight="false" outlineLevel="0" collapsed="false">
      <c r="A150" s="5"/>
      <c r="B150" s="5"/>
      <c r="C150" s="7" t="str">
        <f aca="false">IFERROR(VLOOKUP(B150,Sessions!$A$2:$C$51,3,FALSE()),"")</f>
        <v/>
      </c>
      <c r="D150" s="5"/>
      <c r="E150" s="5"/>
      <c r="F150" s="5"/>
      <c r="G150" s="5"/>
      <c r="H150" s="8" t="str">
        <f aca="false">IFERROR(G150/VLOOKUP(C150,Subjects!$A$2:$H$31,8,FALSE()),"")</f>
        <v/>
      </c>
      <c r="I150" s="5"/>
      <c r="J150" s="5"/>
      <c r="K150" s="5"/>
      <c r="L150" s="7" t="str">
        <f aca="false">IF(ISNUMBER(K150),10-K150,"")</f>
        <v/>
      </c>
      <c r="M150" s="5"/>
      <c r="N150" s="5"/>
      <c r="O150" s="5"/>
      <c r="P150" s="5"/>
      <c r="Q150" s="5"/>
      <c r="R150" s="5"/>
      <c r="S150" s="5"/>
      <c r="T150" s="5"/>
    </row>
    <row r="151" customFormat="false" ht="15" hidden="false" customHeight="false" outlineLevel="0" collapsed="false">
      <c r="A151" s="5"/>
      <c r="B151" s="5"/>
      <c r="C151" s="7" t="str">
        <f aca="false">IFERROR(VLOOKUP(B151,Sessions!$A$2:$C$51,3,FALSE()),"")</f>
        <v/>
      </c>
      <c r="D151" s="5"/>
      <c r="E151" s="5"/>
      <c r="F151" s="5"/>
      <c r="G151" s="5"/>
      <c r="H151" s="8" t="str">
        <f aca="false">IFERROR(G151/VLOOKUP(C151,Subjects!$A$2:$H$31,8,FALSE()),"")</f>
        <v/>
      </c>
      <c r="I151" s="5"/>
      <c r="J151" s="5"/>
      <c r="K151" s="5"/>
      <c r="L151" s="7" t="str">
        <f aca="false">IF(ISNUMBER(K151),10-K151,"")</f>
        <v/>
      </c>
      <c r="M151" s="5"/>
      <c r="N151" s="5"/>
      <c r="O151" s="5"/>
      <c r="P151" s="5"/>
      <c r="Q151" s="5"/>
      <c r="R151" s="5"/>
      <c r="S151" s="5"/>
      <c r="T151" s="5"/>
    </row>
    <row r="152" customFormat="false" ht="15" hidden="false" customHeight="false" outlineLevel="0" collapsed="false">
      <c r="A152" s="5"/>
      <c r="B152" s="5"/>
      <c r="C152" s="7" t="str">
        <f aca="false">IFERROR(VLOOKUP(B152,Sessions!$A$2:$C$51,3,FALSE()),"")</f>
        <v/>
      </c>
      <c r="D152" s="5"/>
      <c r="E152" s="5"/>
      <c r="F152" s="5"/>
      <c r="G152" s="5"/>
      <c r="H152" s="8" t="str">
        <f aca="false">IFERROR(G152/VLOOKUP(C152,Subjects!$A$2:$H$31,8,FALSE()),"")</f>
        <v/>
      </c>
      <c r="I152" s="5"/>
      <c r="J152" s="5"/>
      <c r="K152" s="5"/>
      <c r="L152" s="7" t="str">
        <f aca="false">IF(ISNUMBER(K152),10-K152,"")</f>
        <v/>
      </c>
      <c r="M152" s="5"/>
      <c r="N152" s="5"/>
      <c r="O152" s="5"/>
      <c r="P152" s="5"/>
      <c r="Q152" s="5"/>
      <c r="R152" s="5"/>
      <c r="S152" s="5"/>
      <c r="T152" s="5"/>
    </row>
    <row r="153" customFormat="false" ht="15" hidden="false" customHeight="false" outlineLevel="0" collapsed="false">
      <c r="A153" s="5"/>
      <c r="B153" s="5"/>
      <c r="C153" s="7" t="str">
        <f aca="false">IFERROR(VLOOKUP(B153,Sessions!$A$2:$C$51,3,FALSE()),"")</f>
        <v/>
      </c>
      <c r="D153" s="5"/>
      <c r="E153" s="5"/>
      <c r="F153" s="5"/>
      <c r="G153" s="5"/>
      <c r="H153" s="8" t="str">
        <f aca="false">IFERROR(G153/VLOOKUP(C153,Subjects!$A$2:$H$31,8,FALSE()),"")</f>
        <v/>
      </c>
      <c r="I153" s="5"/>
      <c r="J153" s="5"/>
      <c r="K153" s="5"/>
      <c r="L153" s="7" t="str">
        <f aca="false">IF(ISNUMBER(K153),10-K153,"")</f>
        <v/>
      </c>
      <c r="M153" s="5"/>
      <c r="N153" s="5"/>
      <c r="O153" s="5"/>
      <c r="P153" s="5"/>
      <c r="Q153" s="5"/>
      <c r="R153" s="5"/>
      <c r="S153" s="5"/>
      <c r="T153" s="5"/>
    </row>
    <row r="154" customFormat="false" ht="15" hidden="false" customHeight="false" outlineLevel="0" collapsed="false">
      <c r="A154" s="5"/>
      <c r="B154" s="5"/>
      <c r="C154" s="7" t="str">
        <f aca="false">IFERROR(VLOOKUP(B154,Sessions!$A$2:$C$51,3,FALSE()),"")</f>
        <v/>
      </c>
      <c r="D154" s="5"/>
      <c r="E154" s="5"/>
      <c r="F154" s="5"/>
      <c r="G154" s="5"/>
      <c r="H154" s="8" t="str">
        <f aca="false">IFERROR(G154/VLOOKUP(C154,Subjects!$A$2:$H$31,8,FALSE()),"")</f>
        <v/>
      </c>
      <c r="I154" s="5"/>
      <c r="J154" s="5"/>
      <c r="K154" s="5"/>
      <c r="L154" s="7" t="str">
        <f aca="false">IF(ISNUMBER(K154),10-K154,"")</f>
        <v/>
      </c>
      <c r="M154" s="5"/>
      <c r="N154" s="5"/>
      <c r="O154" s="5"/>
      <c r="P154" s="5"/>
      <c r="Q154" s="5"/>
      <c r="R154" s="5"/>
      <c r="S154" s="5"/>
      <c r="T154" s="5"/>
    </row>
    <row r="155" customFormat="false" ht="15" hidden="false" customHeight="false" outlineLevel="0" collapsed="false">
      <c r="A155" s="5"/>
      <c r="B155" s="5"/>
      <c r="C155" s="7" t="str">
        <f aca="false">IFERROR(VLOOKUP(B155,Sessions!$A$2:$C$51,3,FALSE()),"")</f>
        <v/>
      </c>
      <c r="D155" s="5"/>
      <c r="E155" s="5"/>
      <c r="F155" s="5"/>
      <c r="G155" s="5"/>
      <c r="H155" s="8" t="str">
        <f aca="false">IFERROR(G155/VLOOKUP(C155,Subjects!$A$2:$H$31,8,FALSE()),"")</f>
        <v/>
      </c>
      <c r="I155" s="5"/>
      <c r="J155" s="5"/>
      <c r="K155" s="5"/>
      <c r="L155" s="7" t="str">
        <f aca="false">IF(ISNUMBER(K155),10-K155,"")</f>
        <v/>
      </c>
      <c r="M155" s="5"/>
      <c r="N155" s="5"/>
      <c r="O155" s="5"/>
      <c r="P155" s="5"/>
      <c r="Q155" s="5"/>
      <c r="R155" s="5"/>
      <c r="S155" s="5"/>
      <c r="T155" s="5"/>
    </row>
    <row r="156" customFormat="false" ht="15" hidden="false" customHeight="false" outlineLevel="0" collapsed="false">
      <c r="A156" s="5"/>
      <c r="B156" s="5"/>
      <c r="C156" s="7" t="str">
        <f aca="false">IFERROR(VLOOKUP(B156,Sessions!$A$2:$C$51,3,FALSE()),"")</f>
        <v/>
      </c>
      <c r="D156" s="5"/>
      <c r="E156" s="5"/>
      <c r="F156" s="5"/>
      <c r="G156" s="5"/>
      <c r="H156" s="8" t="str">
        <f aca="false">IFERROR(G156/VLOOKUP(C156,Subjects!$A$2:$H$31,8,FALSE()),"")</f>
        <v/>
      </c>
      <c r="I156" s="5"/>
      <c r="J156" s="5"/>
      <c r="K156" s="5"/>
      <c r="L156" s="7" t="str">
        <f aca="false">IF(ISNUMBER(K156),10-K156,"")</f>
        <v/>
      </c>
      <c r="M156" s="5"/>
      <c r="N156" s="5"/>
      <c r="O156" s="5"/>
      <c r="P156" s="5"/>
      <c r="Q156" s="5"/>
      <c r="R156" s="5"/>
      <c r="S156" s="5"/>
      <c r="T156" s="5"/>
    </row>
    <row r="157" customFormat="false" ht="15" hidden="false" customHeight="false" outlineLevel="0" collapsed="false">
      <c r="A157" s="5"/>
      <c r="B157" s="5"/>
      <c r="C157" s="7" t="str">
        <f aca="false">IFERROR(VLOOKUP(B157,Sessions!$A$2:$C$51,3,FALSE()),"")</f>
        <v/>
      </c>
      <c r="D157" s="5"/>
      <c r="E157" s="5"/>
      <c r="F157" s="5"/>
      <c r="G157" s="5"/>
      <c r="H157" s="8" t="str">
        <f aca="false">IFERROR(G157/VLOOKUP(C157,Subjects!$A$2:$H$31,8,FALSE()),"")</f>
        <v/>
      </c>
      <c r="I157" s="5"/>
      <c r="J157" s="5"/>
      <c r="K157" s="5"/>
      <c r="L157" s="7" t="str">
        <f aca="false">IF(ISNUMBER(K157),10-K157,"")</f>
        <v/>
      </c>
      <c r="M157" s="5"/>
      <c r="N157" s="5"/>
      <c r="O157" s="5"/>
      <c r="P157" s="5"/>
      <c r="Q157" s="5"/>
      <c r="R157" s="5"/>
      <c r="S157" s="5"/>
      <c r="T157" s="5"/>
    </row>
    <row r="158" customFormat="false" ht="15" hidden="false" customHeight="false" outlineLevel="0" collapsed="false">
      <c r="A158" s="5"/>
      <c r="B158" s="5"/>
      <c r="C158" s="7" t="str">
        <f aca="false">IFERROR(VLOOKUP(B158,Sessions!$A$2:$C$51,3,FALSE()),"")</f>
        <v/>
      </c>
      <c r="D158" s="5"/>
      <c r="E158" s="5"/>
      <c r="F158" s="5"/>
      <c r="G158" s="5"/>
      <c r="H158" s="8" t="str">
        <f aca="false">IFERROR(G158/VLOOKUP(C158,Subjects!$A$2:$H$31,8,FALSE()),"")</f>
        <v/>
      </c>
      <c r="I158" s="5"/>
      <c r="J158" s="5"/>
      <c r="K158" s="5"/>
      <c r="L158" s="7" t="str">
        <f aca="false">IF(ISNUMBER(K158),10-K158,"")</f>
        <v/>
      </c>
      <c r="M158" s="5"/>
      <c r="N158" s="5"/>
      <c r="O158" s="5"/>
      <c r="P158" s="5"/>
      <c r="Q158" s="5"/>
      <c r="R158" s="5"/>
      <c r="S158" s="5"/>
      <c r="T158" s="5"/>
    </row>
    <row r="159" customFormat="false" ht="15" hidden="false" customHeight="false" outlineLevel="0" collapsed="false">
      <c r="A159" s="5"/>
      <c r="B159" s="5"/>
      <c r="C159" s="7" t="str">
        <f aca="false">IFERROR(VLOOKUP(B159,Sessions!$A$2:$C$51,3,FALSE()),"")</f>
        <v/>
      </c>
      <c r="D159" s="5"/>
      <c r="E159" s="5"/>
      <c r="F159" s="5"/>
      <c r="G159" s="5"/>
      <c r="H159" s="8" t="str">
        <f aca="false">IFERROR(G159/VLOOKUP(C159,Subjects!$A$2:$H$31,8,FALSE()),"")</f>
        <v/>
      </c>
      <c r="I159" s="5"/>
      <c r="J159" s="5"/>
      <c r="K159" s="5"/>
      <c r="L159" s="7" t="str">
        <f aca="false">IF(ISNUMBER(K159),10-K159,"")</f>
        <v/>
      </c>
      <c r="M159" s="5"/>
      <c r="N159" s="5"/>
      <c r="O159" s="5"/>
      <c r="P159" s="5"/>
      <c r="Q159" s="5"/>
      <c r="R159" s="5"/>
      <c r="S159" s="5"/>
      <c r="T159" s="5"/>
    </row>
    <row r="160" customFormat="false" ht="15" hidden="false" customHeight="false" outlineLevel="0" collapsed="false">
      <c r="A160" s="5"/>
      <c r="B160" s="5"/>
      <c r="C160" s="7" t="str">
        <f aca="false">IFERROR(VLOOKUP(B160,Sessions!$A$2:$C$51,3,FALSE()),"")</f>
        <v/>
      </c>
      <c r="D160" s="5"/>
      <c r="E160" s="5"/>
      <c r="F160" s="5"/>
      <c r="G160" s="5"/>
      <c r="H160" s="8" t="str">
        <f aca="false">IFERROR(G160/VLOOKUP(C160,Subjects!$A$2:$H$31,8,FALSE()),"")</f>
        <v/>
      </c>
      <c r="I160" s="5"/>
      <c r="J160" s="5"/>
      <c r="K160" s="5"/>
      <c r="L160" s="7" t="str">
        <f aca="false">IF(ISNUMBER(K160),10-K160,"")</f>
        <v/>
      </c>
      <c r="M160" s="5"/>
      <c r="N160" s="5"/>
      <c r="O160" s="5"/>
      <c r="P160" s="5"/>
      <c r="Q160" s="5"/>
      <c r="R160" s="5"/>
      <c r="S160" s="5"/>
      <c r="T160" s="5"/>
    </row>
    <row r="161" customFormat="false" ht="15" hidden="false" customHeight="false" outlineLevel="0" collapsed="false">
      <c r="A161" s="5"/>
      <c r="B161" s="5"/>
      <c r="C161" s="7" t="str">
        <f aca="false">IFERROR(VLOOKUP(B161,Sessions!$A$2:$C$51,3,FALSE()),"")</f>
        <v/>
      </c>
      <c r="D161" s="5"/>
      <c r="E161" s="5"/>
      <c r="F161" s="5"/>
      <c r="G161" s="5"/>
      <c r="H161" s="8" t="str">
        <f aca="false">IFERROR(G161/VLOOKUP(C161,Subjects!$A$2:$H$31,8,FALSE()),"")</f>
        <v/>
      </c>
      <c r="I161" s="5"/>
      <c r="J161" s="5"/>
      <c r="K161" s="5"/>
      <c r="L161" s="7" t="str">
        <f aca="false">IF(ISNUMBER(K161),10-K161,"")</f>
        <v/>
      </c>
      <c r="M161" s="5"/>
      <c r="N161" s="5"/>
      <c r="O161" s="5"/>
      <c r="P161" s="5"/>
      <c r="Q161" s="5"/>
      <c r="R161" s="5"/>
      <c r="S161" s="5"/>
      <c r="T161" s="5"/>
    </row>
    <row r="162" customFormat="false" ht="15" hidden="false" customHeight="false" outlineLevel="0" collapsed="false">
      <c r="A162" s="5"/>
      <c r="B162" s="5"/>
      <c r="C162" s="7" t="str">
        <f aca="false">IFERROR(VLOOKUP(B162,Sessions!$A$2:$C$51,3,FALSE()),"")</f>
        <v/>
      </c>
      <c r="D162" s="5"/>
      <c r="E162" s="5"/>
      <c r="F162" s="5"/>
      <c r="G162" s="5"/>
      <c r="H162" s="8" t="str">
        <f aca="false">IFERROR(G162/VLOOKUP(C162,Subjects!$A$2:$H$31,8,FALSE()),"")</f>
        <v/>
      </c>
      <c r="I162" s="5"/>
      <c r="J162" s="5"/>
      <c r="K162" s="5"/>
      <c r="L162" s="7" t="str">
        <f aca="false">IF(ISNUMBER(K162),10-K162,"")</f>
        <v/>
      </c>
      <c r="M162" s="5"/>
      <c r="N162" s="5"/>
      <c r="O162" s="5"/>
      <c r="P162" s="5"/>
      <c r="Q162" s="5"/>
      <c r="R162" s="5"/>
      <c r="S162" s="5"/>
      <c r="T162" s="5"/>
    </row>
    <row r="163" customFormat="false" ht="15" hidden="false" customHeight="false" outlineLevel="0" collapsed="false">
      <c r="A163" s="5"/>
      <c r="B163" s="5"/>
      <c r="C163" s="7" t="str">
        <f aca="false">IFERROR(VLOOKUP(B163,Sessions!$A$2:$C$51,3,FALSE()),"")</f>
        <v/>
      </c>
      <c r="D163" s="5"/>
      <c r="E163" s="5"/>
      <c r="F163" s="5"/>
      <c r="G163" s="5"/>
      <c r="H163" s="8" t="str">
        <f aca="false">IFERROR(G163/VLOOKUP(C163,Subjects!$A$2:$H$31,8,FALSE()),"")</f>
        <v/>
      </c>
      <c r="I163" s="5"/>
      <c r="J163" s="5"/>
      <c r="K163" s="5"/>
      <c r="L163" s="7" t="str">
        <f aca="false">IF(ISNUMBER(K163),10-K163,"")</f>
        <v/>
      </c>
      <c r="M163" s="5"/>
      <c r="N163" s="5"/>
      <c r="O163" s="5"/>
      <c r="P163" s="5"/>
      <c r="Q163" s="5"/>
      <c r="R163" s="5"/>
      <c r="S163" s="5"/>
      <c r="T163" s="5"/>
    </row>
    <row r="164" customFormat="false" ht="15" hidden="false" customHeight="false" outlineLevel="0" collapsed="false">
      <c r="A164" s="5"/>
      <c r="B164" s="5"/>
      <c r="C164" s="7" t="str">
        <f aca="false">IFERROR(VLOOKUP(B164,Sessions!$A$2:$C$51,3,FALSE()),"")</f>
        <v/>
      </c>
      <c r="D164" s="5"/>
      <c r="E164" s="5"/>
      <c r="F164" s="5"/>
      <c r="G164" s="5"/>
      <c r="H164" s="8" t="str">
        <f aca="false">IFERROR(G164/VLOOKUP(C164,Subjects!$A$2:$H$31,8,FALSE()),"")</f>
        <v/>
      </c>
      <c r="I164" s="5"/>
      <c r="J164" s="5"/>
      <c r="K164" s="5"/>
      <c r="L164" s="7" t="str">
        <f aca="false">IF(ISNUMBER(K164),10-K164,"")</f>
        <v/>
      </c>
      <c r="M164" s="5"/>
      <c r="N164" s="5"/>
      <c r="O164" s="5"/>
      <c r="P164" s="5"/>
      <c r="Q164" s="5"/>
      <c r="R164" s="5"/>
      <c r="S164" s="5"/>
      <c r="T164" s="5"/>
    </row>
    <row r="165" customFormat="false" ht="15" hidden="false" customHeight="false" outlineLevel="0" collapsed="false">
      <c r="A165" s="5"/>
      <c r="B165" s="5"/>
      <c r="C165" s="7" t="str">
        <f aca="false">IFERROR(VLOOKUP(B165,Sessions!$A$2:$C$51,3,FALSE()),"")</f>
        <v/>
      </c>
      <c r="D165" s="5"/>
      <c r="E165" s="5"/>
      <c r="F165" s="5"/>
      <c r="G165" s="5"/>
      <c r="H165" s="8" t="str">
        <f aca="false">IFERROR(G165/VLOOKUP(C165,Subjects!$A$2:$H$31,8,FALSE()),"")</f>
        <v/>
      </c>
      <c r="I165" s="5"/>
      <c r="J165" s="5"/>
      <c r="K165" s="5"/>
      <c r="L165" s="7" t="str">
        <f aca="false">IF(ISNUMBER(K165),10-K165,"")</f>
        <v/>
      </c>
      <c r="M165" s="5"/>
      <c r="N165" s="5"/>
      <c r="O165" s="5"/>
      <c r="P165" s="5"/>
      <c r="Q165" s="5"/>
      <c r="R165" s="5"/>
      <c r="S165" s="5"/>
      <c r="T165" s="5"/>
    </row>
    <row r="166" customFormat="false" ht="15" hidden="false" customHeight="false" outlineLevel="0" collapsed="false">
      <c r="A166" s="5"/>
      <c r="B166" s="5"/>
      <c r="C166" s="7" t="str">
        <f aca="false">IFERROR(VLOOKUP(B166,Sessions!$A$2:$C$51,3,FALSE()),"")</f>
        <v/>
      </c>
      <c r="D166" s="5"/>
      <c r="E166" s="5"/>
      <c r="F166" s="5"/>
      <c r="G166" s="5"/>
      <c r="H166" s="8" t="str">
        <f aca="false">IFERROR(G166/VLOOKUP(C166,Subjects!$A$2:$H$31,8,FALSE()),"")</f>
        <v/>
      </c>
      <c r="I166" s="5"/>
      <c r="J166" s="5"/>
      <c r="K166" s="5"/>
      <c r="L166" s="7" t="str">
        <f aca="false">IF(ISNUMBER(K166),10-K166,"")</f>
        <v/>
      </c>
      <c r="M166" s="5"/>
      <c r="N166" s="5"/>
      <c r="O166" s="5"/>
      <c r="P166" s="5"/>
      <c r="Q166" s="5"/>
      <c r="R166" s="5"/>
      <c r="S166" s="5"/>
      <c r="T166" s="5"/>
    </row>
    <row r="167" customFormat="false" ht="15" hidden="false" customHeight="false" outlineLevel="0" collapsed="false">
      <c r="A167" s="5"/>
      <c r="B167" s="5"/>
      <c r="C167" s="7" t="str">
        <f aca="false">IFERROR(VLOOKUP(B167,Sessions!$A$2:$C$51,3,FALSE()),"")</f>
        <v/>
      </c>
      <c r="D167" s="5"/>
      <c r="E167" s="5"/>
      <c r="F167" s="5"/>
      <c r="G167" s="5"/>
      <c r="H167" s="8" t="str">
        <f aca="false">IFERROR(G167/VLOOKUP(C167,Subjects!$A$2:$H$31,8,FALSE()),"")</f>
        <v/>
      </c>
      <c r="I167" s="5"/>
      <c r="J167" s="5"/>
      <c r="K167" s="5"/>
      <c r="L167" s="7" t="str">
        <f aca="false">IF(ISNUMBER(K167),10-K167,"")</f>
        <v/>
      </c>
      <c r="M167" s="5"/>
      <c r="N167" s="5"/>
      <c r="O167" s="5"/>
      <c r="P167" s="5"/>
      <c r="Q167" s="5"/>
      <c r="R167" s="5"/>
      <c r="S167" s="5"/>
      <c r="T167" s="5"/>
    </row>
    <row r="168" customFormat="false" ht="15" hidden="false" customHeight="false" outlineLevel="0" collapsed="false">
      <c r="A168" s="5"/>
      <c r="B168" s="5"/>
      <c r="C168" s="7" t="str">
        <f aca="false">IFERROR(VLOOKUP(B168,Sessions!$A$2:$C$51,3,FALSE()),"")</f>
        <v/>
      </c>
      <c r="D168" s="5"/>
      <c r="E168" s="5"/>
      <c r="F168" s="5"/>
      <c r="G168" s="5"/>
      <c r="H168" s="8" t="str">
        <f aca="false">IFERROR(G168/VLOOKUP(C168,Subjects!$A$2:$H$31,8,FALSE()),"")</f>
        <v/>
      </c>
      <c r="I168" s="5"/>
      <c r="J168" s="5"/>
      <c r="K168" s="5"/>
      <c r="L168" s="7" t="str">
        <f aca="false">IF(ISNUMBER(K168),10-K168,"")</f>
        <v/>
      </c>
      <c r="M168" s="5"/>
      <c r="N168" s="5"/>
      <c r="O168" s="5"/>
      <c r="P168" s="5"/>
      <c r="Q168" s="5"/>
      <c r="R168" s="5"/>
      <c r="S168" s="5"/>
      <c r="T168" s="5"/>
    </row>
    <row r="169" customFormat="false" ht="15" hidden="false" customHeight="false" outlineLevel="0" collapsed="false">
      <c r="A169" s="5"/>
      <c r="B169" s="5"/>
      <c r="C169" s="7" t="str">
        <f aca="false">IFERROR(VLOOKUP(B169,Sessions!$A$2:$C$51,3,FALSE()),"")</f>
        <v/>
      </c>
      <c r="D169" s="5"/>
      <c r="E169" s="5"/>
      <c r="F169" s="5"/>
      <c r="G169" s="5"/>
      <c r="H169" s="8" t="str">
        <f aca="false">IFERROR(G169/VLOOKUP(C169,Subjects!$A$2:$H$31,8,FALSE()),"")</f>
        <v/>
      </c>
      <c r="I169" s="5"/>
      <c r="J169" s="5"/>
      <c r="K169" s="5"/>
      <c r="L169" s="7" t="str">
        <f aca="false">IF(ISNUMBER(K169),10-K169,"")</f>
        <v/>
      </c>
      <c r="M169" s="5"/>
      <c r="N169" s="5"/>
      <c r="O169" s="5"/>
      <c r="P169" s="5"/>
      <c r="Q169" s="5"/>
      <c r="R169" s="5"/>
      <c r="S169" s="5"/>
      <c r="T169" s="5"/>
    </row>
    <row r="170" customFormat="false" ht="15" hidden="false" customHeight="false" outlineLevel="0" collapsed="false">
      <c r="A170" s="5"/>
      <c r="B170" s="5"/>
      <c r="C170" s="7" t="str">
        <f aca="false">IFERROR(VLOOKUP(B170,Sessions!$A$2:$C$51,3,FALSE()),"")</f>
        <v/>
      </c>
      <c r="D170" s="5"/>
      <c r="E170" s="5"/>
      <c r="F170" s="5"/>
      <c r="G170" s="5"/>
      <c r="H170" s="8" t="str">
        <f aca="false">IFERROR(G170/VLOOKUP(C170,Subjects!$A$2:$H$31,8,FALSE()),"")</f>
        <v/>
      </c>
      <c r="I170" s="5"/>
      <c r="J170" s="5"/>
      <c r="K170" s="5"/>
      <c r="L170" s="7" t="str">
        <f aca="false">IF(ISNUMBER(K170),10-K170,"")</f>
        <v/>
      </c>
      <c r="M170" s="5"/>
      <c r="N170" s="5"/>
      <c r="O170" s="5"/>
      <c r="P170" s="5"/>
      <c r="Q170" s="5"/>
      <c r="R170" s="5"/>
      <c r="S170" s="5"/>
      <c r="T170" s="5"/>
    </row>
    <row r="171" customFormat="false" ht="15" hidden="false" customHeight="false" outlineLevel="0" collapsed="false">
      <c r="A171" s="5"/>
      <c r="B171" s="5"/>
      <c r="C171" s="7" t="str">
        <f aca="false">IFERROR(VLOOKUP(B171,Sessions!$A$2:$C$51,3,FALSE()),"")</f>
        <v/>
      </c>
      <c r="D171" s="5"/>
      <c r="E171" s="5"/>
      <c r="F171" s="5"/>
      <c r="G171" s="5"/>
      <c r="H171" s="8" t="str">
        <f aca="false">IFERROR(G171/VLOOKUP(C171,Subjects!$A$2:$H$31,8,FALSE()),"")</f>
        <v/>
      </c>
      <c r="I171" s="5"/>
      <c r="J171" s="5"/>
      <c r="K171" s="5"/>
      <c r="L171" s="7" t="str">
        <f aca="false">IF(ISNUMBER(K171),10-K171,"")</f>
        <v/>
      </c>
      <c r="M171" s="5"/>
      <c r="N171" s="5"/>
      <c r="O171" s="5"/>
      <c r="P171" s="5"/>
      <c r="Q171" s="5"/>
      <c r="R171" s="5"/>
      <c r="S171" s="5"/>
      <c r="T171" s="5"/>
    </row>
    <row r="172" customFormat="false" ht="15" hidden="false" customHeight="false" outlineLevel="0" collapsed="false">
      <c r="A172" s="5"/>
      <c r="B172" s="5"/>
      <c r="C172" s="7" t="str">
        <f aca="false">IFERROR(VLOOKUP(B172,Sessions!$A$2:$C$51,3,FALSE()),"")</f>
        <v/>
      </c>
      <c r="D172" s="5"/>
      <c r="E172" s="5"/>
      <c r="F172" s="5"/>
      <c r="G172" s="5"/>
      <c r="H172" s="8" t="str">
        <f aca="false">IFERROR(G172/VLOOKUP(C172,Subjects!$A$2:$H$31,8,FALSE()),"")</f>
        <v/>
      </c>
      <c r="I172" s="5"/>
      <c r="J172" s="5"/>
      <c r="K172" s="5"/>
      <c r="L172" s="7" t="str">
        <f aca="false">IF(ISNUMBER(K172),10-K172,"")</f>
        <v/>
      </c>
      <c r="M172" s="5"/>
      <c r="N172" s="5"/>
      <c r="O172" s="5"/>
      <c r="P172" s="5"/>
      <c r="Q172" s="5"/>
      <c r="R172" s="5"/>
      <c r="S172" s="5"/>
      <c r="T172" s="5"/>
    </row>
    <row r="173" customFormat="false" ht="15" hidden="false" customHeight="false" outlineLevel="0" collapsed="false">
      <c r="A173" s="5"/>
      <c r="B173" s="5"/>
      <c r="C173" s="7" t="str">
        <f aca="false">IFERROR(VLOOKUP(B173,Sessions!$A$2:$C$51,3,FALSE()),"")</f>
        <v/>
      </c>
      <c r="D173" s="5"/>
      <c r="E173" s="5"/>
      <c r="F173" s="5"/>
      <c r="G173" s="5"/>
      <c r="H173" s="8" t="str">
        <f aca="false">IFERROR(G173/VLOOKUP(C173,Subjects!$A$2:$H$31,8,FALSE()),"")</f>
        <v/>
      </c>
      <c r="I173" s="5"/>
      <c r="J173" s="5"/>
      <c r="K173" s="5"/>
      <c r="L173" s="7" t="str">
        <f aca="false">IF(ISNUMBER(K173),10-K173,"")</f>
        <v/>
      </c>
      <c r="M173" s="5"/>
      <c r="N173" s="5"/>
      <c r="O173" s="5"/>
      <c r="P173" s="5"/>
      <c r="Q173" s="5"/>
      <c r="R173" s="5"/>
      <c r="S173" s="5"/>
      <c r="T173" s="5"/>
    </row>
    <row r="174" customFormat="false" ht="15" hidden="false" customHeight="false" outlineLevel="0" collapsed="false">
      <c r="A174" s="5"/>
      <c r="B174" s="5"/>
      <c r="C174" s="7" t="str">
        <f aca="false">IFERROR(VLOOKUP(B174,Sessions!$A$2:$C$51,3,FALSE()),"")</f>
        <v/>
      </c>
      <c r="D174" s="5"/>
      <c r="E174" s="5"/>
      <c r="F174" s="5"/>
      <c r="G174" s="5"/>
      <c r="H174" s="8" t="str">
        <f aca="false">IFERROR(G174/VLOOKUP(C174,Subjects!$A$2:$H$31,8,FALSE()),"")</f>
        <v/>
      </c>
      <c r="I174" s="5"/>
      <c r="J174" s="5"/>
      <c r="K174" s="5"/>
      <c r="L174" s="7" t="str">
        <f aca="false">IF(ISNUMBER(K174),10-K174,"")</f>
        <v/>
      </c>
      <c r="M174" s="5"/>
      <c r="N174" s="5"/>
      <c r="O174" s="5"/>
      <c r="P174" s="5"/>
      <c r="Q174" s="5"/>
      <c r="R174" s="5"/>
      <c r="S174" s="5"/>
      <c r="T174" s="5"/>
    </row>
    <row r="175" customFormat="false" ht="15" hidden="false" customHeight="false" outlineLevel="0" collapsed="false">
      <c r="A175" s="5"/>
      <c r="B175" s="5"/>
      <c r="C175" s="7" t="str">
        <f aca="false">IFERROR(VLOOKUP(B175,Sessions!$A$2:$C$51,3,FALSE()),"")</f>
        <v/>
      </c>
      <c r="D175" s="5"/>
      <c r="E175" s="5"/>
      <c r="F175" s="5"/>
      <c r="G175" s="5"/>
      <c r="H175" s="8" t="str">
        <f aca="false">IFERROR(G175/VLOOKUP(C175,Subjects!$A$2:$H$31,8,FALSE()),"")</f>
        <v/>
      </c>
      <c r="I175" s="5"/>
      <c r="J175" s="5"/>
      <c r="K175" s="5"/>
      <c r="L175" s="7" t="str">
        <f aca="false">IF(ISNUMBER(K175),10-K175,"")</f>
        <v/>
      </c>
      <c r="M175" s="5"/>
      <c r="N175" s="5"/>
      <c r="O175" s="5"/>
      <c r="P175" s="5"/>
      <c r="Q175" s="5"/>
      <c r="R175" s="5"/>
      <c r="S175" s="5"/>
      <c r="T175" s="5"/>
    </row>
    <row r="176" customFormat="false" ht="15" hidden="false" customHeight="false" outlineLevel="0" collapsed="false">
      <c r="A176" s="5"/>
      <c r="B176" s="5"/>
      <c r="C176" s="7" t="str">
        <f aca="false">IFERROR(VLOOKUP(B176,Sessions!$A$2:$C$51,3,FALSE()),"")</f>
        <v/>
      </c>
      <c r="D176" s="5"/>
      <c r="E176" s="5"/>
      <c r="F176" s="5"/>
      <c r="G176" s="5"/>
      <c r="H176" s="8" t="str">
        <f aca="false">IFERROR(G176/VLOOKUP(C176,Subjects!$A$2:$H$31,8,FALSE()),"")</f>
        <v/>
      </c>
      <c r="I176" s="5"/>
      <c r="J176" s="5"/>
      <c r="K176" s="5"/>
      <c r="L176" s="7" t="str">
        <f aca="false">IF(ISNUMBER(K176),10-K176,"")</f>
        <v/>
      </c>
      <c r="M176" s="5"/>
      <c r="N176" s="5"/>
      <c r="O176" s="5"/>
      <c r="P176" s="5"/>
      <c r="Q176" s="5"/>
      <c r="R176" s="5"/>
      <c r="S176" s="5"/>
      <c r="T176" s="5"/>
    </row>
    <row r="177" customFormat="false" ht="15" hidden="false" customHeight="false" outlineLevel="0" collapsed="false">
      <c r="A177" s="5"/>
      <c r="B177" s="5"/>
      <c r="C177" s="7" t="str">
        <f aca="false">IFERROR(VLOOKUP(B177,Sessions!$A$2:$C$51,3,FALSE()),"")</f>
        <v/>
      </c>
      <c r="D177" s="5"/>
      <c r="E177" s="5"/>
      <c r="F177" s="5"/>
      <c r="G177" s="5"/>
      <c r="H177" s="8" t="str">
        <f aca="false">IFERROR(G177/VLOOKUP(C177,Subjects!$A$2:$H$31,8,FALSE()),"")</f>
        <v/>
      </c>
      <c r="I177" s="5"/>
      <c r="J177" s="5"/>
      <c r="K177" s="5"/>
      <c r="L177" s="7" t="str">
        <f aca="false">IF(ISNUMBER(K177),10-K177,"")</f>
        <v/>
      </c>
      <c r="M177" s="5"/>
      <c r="N177" s="5"/>
      <c r="O177" s="5"/>
      <c r="P177" s="5"/>
      <c r="Q177" s="5"/>
      <c r="R177" s="5"/>
      <c r="S177" s="5"/>
      <c r="T177" s="5"/>
    </row>
    <row r="178" customFormat="false" ht="15" hidden="false" customHeight="false" outlineLevel="0" collapsed="false">
      <c r="A178" s="5"/>
      <c r="B178" s="5"/>
      <c r="C178" s="7" t="str">
        <f aca="false">IFERROR(VLOOKUP(B178,Sessions!$A$2:$C$51,3,FALSE()),"")</f>
        <v/>
      </c>
      <c r="D178" s="5"/>
      <c r="E178" s="5"/>
      <c r="F178" s="5"/>
      <c r="G178" s="5"/>
      <c r="H178" s="8" t="str">
        <f aca="false">IFERROR(G178/VLOOKUP(C178,Subjects!$A$2:$H$31,8,FALSE()),"")</f>
        <v/>
      </c>
      <c r="I178" s="5"/>
      <c r="J178" s="5"/>
      <c r="K178" s="5"/>
      <c r="L178" s="7" t="str">
        <f aca="false">IF(ISNUMBER(K178),10-K178,"")</f>
        <v/>
      </c>
      <c r="M178" s="5"/>
      <c r="N178" s="5"/>
      <c r="O178" s="5"/>
      <c r="P178" s="5"/>
      <c r="Q178" s="5"/>
      <c r="R178" s="5"/>
      <c r="S178" s="5"/>
      <c r="T178" s="5"/>
    </row>
    <row r="179" customFormat="false" ht="15" hidden="false" customHeight="false" outlineLevel="0" collapsed="false">
      <c r="A179" s="5"/>
      <c r="B179" s="5"/>
      <c r="C179" s="7" t="str">
        <f aca="false">IFERROR(VLOOKUP(B179,Sessions!$A$2:$C$51,3,FALSE()),"")</f>
        <v/>
      </c>
      <c r="D179" s="5"/>
      <c r="E179" s="5"/>
      <c r="F179" s="5"/>
      <c r="G179" s="5"/>
      <c r="H179" s="8" t="str">
        <f aca="false">IFERROR(G179/VLOOKUP(C179,Subjects!$A$2:$H$31,8,FALSE()),"")</f>
        <v/>
      </c>
      <c r="I179" s="5"/>
      <c r="J179" s="5"/>
      <c r="K179" s="5"/>
      <c r="L179" s="7" t="str">
        <f aca="false">IF(ISNUMBER(K179),10-K179,"")</f>
        <v/>
      </c>
      <c r="M179" s="5"/>
      <c r="N179" s="5"/>
      <c r="O179" s="5"/>
      <c r="P179" s="5"/>
      <c r="Q179" s="5"/>
      <c r="R179" s="5"/>
      <c r="S179" s="5"/>
      <c r="T179" s="5"/>
    </row>
    <row r="180" customFormat="false" ht="15" hidden="false" customHeight="false" outlineLevel="0" collapsed="false">
      <c r="A180" s="5"/>
      <c r="B180" s="5"/>
      <c r="C180" s="7" t="str">
        <f aca="false">IFERROR(VLOOKUP(B180,Sessions!$A$2:$C$51,3,FALSE()),"")</f>
        <v/>
      </c>
      <c r="D180" s="5"/>
      <c r="E180" s="5"/>
      <c r="F180" s="5"/>
      <c r="G180" s="5"/>
      <c r="H180" s="8" t="str">
        <f aca="false">IFERROR(G180/VLOOKUP(C180,Subjects!$A$2:$H$31,8,FALSE()),"")</f>
        <v/>
      </c>
      <c r="I180" s="5"/>
      <c r="J180" s="5"/>
      <c r="K180" s="5"/>
      <c r="L180" s="7" t="str">
        <f aca="false">IF(ISNUMBER(K180),10-K180,"")</f>
        <v/>
      </c>
      <c r="M180" s="5"/>
      <c r="N180" s="5"/>
      <c r="O180" s="5"/>
      <c r="P180" s="5"/>
      <c r="Q180" s="5"/>
      <c r="R180" s="5"/>
      <c r="S180" s="5"/>
      <c r="T180" s="5"/>
    </row>
    <row r="181" customFormat="false" ht="15" hidden="false" customHeight="false" outlineLevel="0" collapsed="false">
      <c r="A181" s="5"/>
      <c r="B181" s="5"/>
      <c r="C181" s="7" t="str">
        <f aca="false">IFERROR(VLOOKUP(B181,Sessions!$A$2:$C$51,3,FALSE()),"")</f>
        <v/>
      </c>
      <c r="D181" s="5"/>
      <c r="E181" s="5"/>
      <c r="F181" s="5"/>
      <c r="G181" s="5"/>
      <c r="H181" s="8" t="str">
        <f aca="false">IFERROR(G181/VLOOKUP(C181,Subjects!$A$2:$H$31,8,FALSE()),"")</f>
        <v/>
      </c>
      <c r="I181" s="5"/>
      <c r="J181" s="5"/>
      <c r="K181" s="5"/>
      <c r="L181" s="7" t="str">
        <f aca="false">IF(ISNUMBER(K181),10-K181,"")</f>
        <v/>
      </c>
      <c r="M181" s="5"/>
      <c r="N181" s="5"/>
      <c r="O181" s="5"/>
      <c r="P181" s="5"/>
      <c r="Q181" s="5"/>
      <c r="R181" s="5"/>
      <c r="S181" s="5"/>
      <c r="T181" s="5"/>
    </row>
    <row r="182" customFormat="false" ht="15" hidden="false" customHeight="false" outlineLevel="0" collapsed="false">
      <c r="A182" s="5"/>
      <c r="B182" s="5"/>
      <c r="C182" s="7" t="str">
        <f aca="false">IFERROR(VLOOKUP(B182,Sessions!$A$2:$C$51,3,FALSE()),"")</f>
        <v/>
      </c>
      <c r="D182" s="5"/>
      <c r="E182" s="5"/>
      <c r="F182" s="5"/>
      <c r="G182" s="5"/>
      <c r="H182" s="8" t="str">
        <f aca="false">IFERROR(G182/VLOOKUP(C182,Subjects!$A$2:$H$31,8,FALSE()),"")</f>
        <v/>
      </c>
      <c r="I182" s="5"/>
      <c r="J182" s="5"/>
      <c r="K182" s="5"/>
      <c r="L182" s="7" t="str">
        <f aca="false">IF(ISNUMBER(K182),10-K182,"")</f>
        <v/>
      </c>
      <c r="M182" s="5"/>
      <c r="N182" s="5"/>
      <c r="O182" s="5"/>
      <c r="P182" s="5"/>
      <c r="Q182" s="5"/>
      <c r="R182" s="5"/>
      <c r="S182" s="5"/>
      <c r="T182" s="5"/>
    </row>
    <row r="183" customFormat="false" ht="15" hidden="false" customHeight="false" outlineLevel="0" collapsed="false">
      <c r="A183" s="5"/>
      <c r="B183" s="5"/>
      <c r="C183" s="7" t="str">
        <f aca="false">IFERROR(VLOOKUP(B183,Sessions!$A$2:$C$51,3,FALSE()),"")</f>
        <v/>
      </c>
      <c r="D183" s="5"/>
      <c r="E183" s="5"/>
      <c r="F183" s="5"/>
      <c r="G183" s="5"/>
      <c r="H183" s="8" t="str">
        <f aca="false">IFERROR(G183/VLOOKUP(C183,Subjects!$A$2:$H$31,8,FALSE()),"")</f>
        <v/>
      </c>
      <c r="I183" s="5"/>
      <c r="J183" s="5"/>
      <c r="K183" s="5"/>
      <c r="L183" s="7" t="str">
        <f aca="false">IF(ISNUMBER(K183),10-K183,"")</f>
        <v/>
      </c>
      <c r="M183" s="5"/>
      <c r="N183" s="5"/>
      <c r="O183" s="5"/>
      <c r="P183" s="5"/>
      <c r="Q183" s="5"/>
      <c r="R183" s="5"/>
      <c r="S183" s="5"/>
      <c r="T183" s="5"/>
    </row>
    <row r="184" customFormat="false" ht="15" hidden="false" customHeight="false" outlineLevel="0" collapsed="false">
      <c r="A184" s="5"/>
      <c r="B184" s="5"/>
      <c r="C184" s="7" t="str">
        <f aca="false">IFERROR(VLOOKUP(B184,Sessions!$A$2:$C$51,3,FALSE()),"")</f>
        <v/>
      </c>
      <c r="D184" s="5"/>
      <c r="E184" s="5"/>
      <c r="F184" s="5"/>
      <c r="G184" s="5"/>
      <c r="H184" s="8" t="str">
        <f aca="false">IFERROR(G184/VLOOKUP(C184,Subjects!$A$2:$H$31,8,FALSE()),"")</f>
        <v/>
      </c>
      <c r="I184" s="5"/>
      <c r="J184" s="5"/>
      <c r="K184" s="5"/>
      <c r="L184" s="7" t="str">
        <f aca="false">IF(ISNUMBER(K184),10-K184,"")</f>
        <v/>
      </c>
      <c r="M184" s="5"/>
      <c r="N184" s="5"/>
      <c r="O184" s="5"/>
      <c r="P184" s="5"/>
      <c r="Q184" s="5"/>
      <c r="R184" s="5"/>
      <c r="S184" s="5"/>
      <c r="T184" s="5"/>
    </row>
    <row r="185" customFormat="false" ht="15" hidden="false" customHeight="false" outlineLevel="0" collapsed="false">
      <c r="A185" s="5"/>
      <c r="B185" s="5"/>
      <c r="C185" s="7" t="str">
        <f aca="false">IFERROR(VLOOKUP(B185,Sessions!$A$2:$C$51,3,FALSE()),"")</f>
        <v/>
      </c>
      <c r="D185" s="5"/>
      <c r="E185" s="5"/>
      <c r="F185" s="5"/>
      <c r="G185" s="5"/>
      <c r="H185" s="8" t="str">
        <f aca="false">IFERROR(G185/VLOOKUP(C185,Subjects!$A$2:$H$31,8,FALSE()),"")</f>
        <v/>
      </c>
      <c r="I185" s="5"/>
      <c r="J185" s="5"/>
      <c r="K185" s="5"/>
      <c r="L185" s="7" t="str">
        <f aca="false">IF(ISNUMBER(K185),10-K185,"")</f>
        <v/>
      </c>
      <c r="M185" s="5"/>
      <c r="N185" s="5"/>
      <c r="O185" s="5"/>
      <c r="P185" s="5"/>
      <c r="Q185" s="5"/>
      <c r="R185" s="5"/>
      <c r="S185" s="5"/>
      <c r="T185" s="5"/>
    </row>
    <row r="186" customFormat="false" ht="15" hidden="false" customHeight="false" outlineLevel="0" collapsed="false">
      <c r="A186" s="5"/>
      <c r="B186" s="5"/>
      <c r="C186" s="7" t="str">
        <f aca="false">IFERROR(VLOOKUP(B186,Sessions!$A$2:$C$51,3,FALSE()),"")</f>
        <v/>
      </c>
      <c r="D186" s="5"/>
      <c r="E186" s="5"/>
      <c r="F186" s="5"/>
      <c r="G186" s="5"/>
      <c r="H186" s="8" t="str">
        <f aca="false">IFERROR(G186/VLOOKUP(C186,Subjects!$A$2:$H$31,8,FALSE()),"")</f>
        <v/>
      </c>
      <c r="I186" s="5"/>
      <c r="J186" s="5"/>
      <c r="K186" s="5"/>
      <c r="L186" s="7" t="str">
        <f aca="false">IF(ISNUMBER(K186),10-K186,"")</f>
        <v/>
      </c>
      <c r="M186" s="5"/>
      <c r="N186" s="5"/>
      <c r="O186" s="5"/>
      <c r="P186" s="5"/>
      <c r="Q186" s="5"/>
      <c r="R186" s="5"/>
      <c r="S186" s="5"/>
      <c r="T186" s="5"/>
    </row>
    <row r="187" customFormat="false" ht="15" hidden="false" customHeight="false" outlineLevel="0" collapsed="false">
      <c r="A187" s="5"/>
      <c r="B187" s="5"/>
      <c r="C187" s="7" t="str">
        <f aca="false">IFERROR(VLOOKUP(B187,Sessions!$A$2:$C$51,3,FALSE()),"")</f>
        <v/>
      </c>
      <c r="D187" s="5"/>
      <c r="E187" s="5"/>
      <c r="F187" s="5"/>
      <c r="G187" s="5"/>
      <c r="H187" s="8" t="str">
        <f aca="false">IFERROR(G187/VLOOKUP(C187,Subjects!$A$2:$H$31,8,FALSE()),"")</f>
        <v/>
      </c>
      <c r="I187" s="5"/>
      <c r="J187" s="5"/>
      <c r="K187" s="5"/>
      <c r="L187" s="7" t="str">
        <f aca="false">IF(ISNUMBER(K187),10-K187,"")</f>
        <v/>
      </c>
      <c r="M187" s="5"/>
      <c r="N187" s="5"/>
      <c r="O187" s="5"/>
      <c r="P187" s="5"/>
      <c r="Q187" s="5"/>
      <c r="R187" s="5"/>
      <c r="S187" s="5"/>
      <c r="T187" s="5"/>
    </row>
    <row r="188" customFormat="false" ht="15" hidden="false" customHeight="false" outlineLevel="0" collapsed="false">
      <c r="A188" s="5"/>
      <c r="B188" s="5"/>
      <c r="C188" s="7" t="str">
        <f aca="false">IFERROR(VLOOKUP(B188,Sessions!$A$2:$C$51,3,FALSE()),"")</f>
        <v/>
      </c>
      <c r="D188" s="5"/>
      <c r="E188" s="5"/>
      <c r="F188" s="5"/>
      <c r="G188" s="5"/>
      <c r="H188" s="8" t="str">
        <f aca="false">IFERROR(G188/VLOOKUP(C188,Subjects!$A$2:$H$31,8,FALSE()),"")</f>
        <v/>
      </c>
      <c r="I188" s="5"/>
      <c r="J188" s="5"/>
      <c r="K188" s="5"/>
      <c r="L188" s="7" t="str">
        <f aca="false">IF(ISNUMBER(K188),10-K188,"")</f>
        <v/>
      </c>
      <c r="M188" s="5"/>
      <c r="N188" s="5"/>
      <c r="O188" s="5"/>
      <c r="P188" s="5"/>
      <c r="Q188" s="5"/>
      <c r="R188" s="5"/>
      <c r="S188" s="5"/>
      <c r="T188" s="5"/>
    </row>
    <row r="189" customFormat="false" ht="15" hidden="false" customHeight="false" outlineLevel="0" collapsed="false">
      <c r="A189" s="5"/>
      <c r="B189" s="5"/>
      <c r="C189" s="7" t="str">
        <f aca="false">IFERROR(VLOOKUP(B189,Sessions!$A$2:$C$51,3,FALSE()),"")</f>
        <v/>
      </c>
      <c r="D189" s="5"/>
      <c r="E189" s="5"/>
      <c r="F189" s="5"/>
      <c r="G189" s="5"/>
      <c r="H189" s="8" t="str">
        <f aca="false">IFERROR(G189/VLOOKUP(C189,Subjects!$A$2:$H$31,8,FALSE()),"")</f>
        <v/>
      </c>
      <c r="I189" s="5"/>
      <c r="J189" s="5"/>
      <c r="K189" s="5"/>
      <c r="L189" s="7" t="str">
        <f aca="false">IF(ISNUMBER(K189),10-K189,"")</f>
        <v/>
      </c>
      <c r="M189" s="5"/>
      <c r="N189" s="5"/>
      <c r="O189" s="5"/>
      <c r="P189" s="5"/>
      <c r="Q189" s="5"/>
      <c r="R189" s="5"/>
      <c r="S189" s="5"/>
      <c r="T189" s="5"/>
    </row>
    <row r="190" customFormat="false" ht="15" hidden="false" customHeight="false" outlineLevel="0" collapsed="false">
      <c r="A190" s="5"/>
      <c r="B190" s="5"/>
      <c r="C190" s="7" t="str">
        <f aca="false">IFERROR(VLOOKUP(B190,Sessions!$A$2:$C$51,3,FALSE()),"")</f>
        <v/>
      </c>
      <c r="D190" s="5"/>
      <c r="E190" s="5"/>
      <c r="F190" s="5"/>
      <c r="G190" s="5"/>
      <c r="H190" s="8" t="str">
        <f aca="false">IFERROR(G190/VLOOKUP(C190,Subjects!$A$2:$H$31,8,FALSE()),"")</f>
        <v/>
      </c>
      <c r="I190" s="5"/>
      <c r="J190" s="5"/>
      <c r="K190" s="5"/>
      <c r="L190" s="7" t="str">
        <f aca="false">IF(ISNUMBER(K190),10-K190,"")</f>
        <v/>
      </c>
      <c r="M190" s="5"/>
      <c r="N190" s="5"/>
      <c r="O190" s="5"/>
      <c r="P190" s="5"/>
      <c r="Q190" s="5"/>
      <c r="R190" s="5"/>
      <c r="S190" s="5"/>
      <c r="T190" s="5"/>
    </row>
    <row r="191" customFormat="false" ht="15" hidden="false" customHeight="false" outlineLevel="0" collapsed="false">
      <c r="A191" s="5"/>
      <c r="B191" s="5"/>
      <c r="C191" s="7" t="str">
        <f aca="false">IFERROR(VLOOKUP(B191,Sessions!$A$2:$C$51,3,FALSE()),"")</f>
        <v/>
      </c>
      <c r="D191" s="5"/>
      <c r="E191" s="5"/>
      <c r="F191" s="5"/>
      <c r="G191" s="5"/>
      <c r="H191" s="8" t="str">
        <f aca="false">IFERROR(G191/VLOOKUP(C191,Subjects!$A$2:$H$31,8,FALSE()),"")</f>
        <v/>
      </c>
      <c r="I191" s="5"/>
      <c r="J191" s="5"/>
      <c r="K191" s="5"/>
      <c r="L191" s="7" t="str">
        <f aca="false">IF(ISNUMBER(K191),10-K191,"")</f>
        <v/>
      </c>
      <c r="M191" s="5"/>
      <c r="N191" s="5"/>
      <c r="O191" s="5"/>
      <c r="P191" s="5"/>
      <c r="Q191" s="5"/>
      <c r="R191" s="5"/>
      <c r="S191" s="5"/>
      <c r="T191" s="5"/>
    </row>
    <row r="192" customFormat="false" ht="15" hidden="false" customHeight="false" outlineLevel="0" collapsed="false">
      <c r="A192" s="5"/>
      <c r="B192" s="5"/>
      <c r="C192" s="7" t="str">
        <f aca="false">IFERROR(VLOOKUP(B192,Sessions!$A$2:$C$51,3,FALSE()),"")</f>
        <v/>
      </c>
      <c r="D192" s="5"/>
      <c r="E192" s="5"/>
      <c r="F192" s="5"/>
      <c r="G192" s="5"/>
      <c r="H192" s="8" t="str">
        <f aca="false">IFERROR(G192/VLOOKUP(C192,Subjects!$A$2:$H$31,8,FALSE()),"")</f>
        <v/>
      </c>
      <c r="I192" s="5"/>
      <c r="J192" s="5"/>
      <c r="K192" s="5"/>
      <c r="L192" s="7" t="str">
        <f aca="false">IF(ISNUMBER(K192),10-K192,"")</f>
        <v/>
      </c>
      <c r="M192" s="5"/>
      <c r="N192" s="5"/>
      <c r="O192" s="5"/>
      <c r="P192" s="5"/>
      <c r="Q192" s="5"/>
      <c r="R192" s="5"/>
      <c r="S192" s="5"/>
      <c r="T192" s="5"/>
    </row>
    <row r="193" customFormat="false" ht="15" hidden="false" customHeight="false" outlineLevel="0" collapsed="false">
      <c r="A193" s="5"/>
      <c r="B193" s="5"/>
      <c r="C193" s="7" t="str">
        <f aca="false">IFERROR(VLOOKUP(B193,Sessions!$A$2:$C$51,3,FALSE()),"")</f>
        <v/>
      </c>
      <c r="D193" s="5"/>
      <c r="E193" s="5"/>
      <c r="F193" s="5"/>
      <c r="G193" s="5"/>
      <c r="H193" s="8" t="str">
        <f aca="false">IFERROR(G193/VLOOKUP(C193,Subjects!$A$2:$H$31,8,FALSE()),"")</f>
        <v/>
      </c>
      <c r="I193" s="5"/>
      <c r="J193" s="5"/>
      <c r="K193" s="5"/>
      <c r="L193" s="7" t="str">
        <f aca="false">IF(ISNUMBER(K193),10-K193,"")</f>
        <v/>
      </c>
      <c r="M193" s="5"/>
      <c r="N193" s="5"/>
      <c r="O193" s="5"/>
      <c r="P193" s="5"/>
      <c r="Q193" s="5"/>
      <c r="R193" s="5"/>
      <c r="S193" s="5"/>
      <c r="T193" s="5"/>
    </row>
    <row r="194" customFormat="false" ht="15" hidden="false" customHeight="false" outlineLevel="0" collapsed="false">
      <c r="A194" s="5"/>
      <c r="B194" s="5"/>
      <c r="C194" s="7" t="str">
        <f aca="false">IFERROR(VLOOKUP(B194,Sessions!$A$2:$C$51,3,FALSE()),"")</f>
        <v/>
      </c>
      <c r="D194" s="5"/>
      <c r="E194" s="5"/>
      <c r="F194" s="5"/>
      <c r="G194" s="5"/>
      <c r="H194" s="8" t="str">
        <f aca="false">IFERROR(G194/VLOOKUP(C194,Subjects!$A$2:$H$31,8,FALSE()),"")</f>
        <v/>
      </c>
      <c r="I194" s="5"/>
      <c r="J194" s="5"/>
      <c r="K194" s="5"/>
      <c r="L194" s="7" t="str">
        <f aca="false">IF(ISNUMBER(K194),10-K194,"")</f>
        <v/>
      </c>
      <c r="M194" s="5"/>
      <c r="N194" s="5"/>
      <c r="O194" s="5"/>
      <c r="P194" s="5"/>
      <c r="Q194" s="5"/>
      <c r="R194" s="5"/>
      <c r="S194" s="5"/>
      <c r="T194" s="5"/>
    </row>
    <row r="195" customFormat="false" ht="15" hidden="false" customHeight="false" outlineLevel="0" collapsed="false">
      <c r="A195" s="5"/>
      <c r="B195" s="5"/>
      <c r="C195" s="7" t="str">
        <f aca="false">IFERROR(VLOOKUP(B195,Sessions!$A$2:$C$51,3,FALSE()),"")</f>
        <v/>
      </c>
      <c r="D195" s="5"/>
      <c r="E195" s="5"/>
      <c r="F195" s="5"/>
      <c r="G195" s="5"/>
      <c r="H195" s="8" t="str">
        <f aca="false">IFERROR(G195/VLOOKUP(C195,Subjects!$A$2:$H$31,8,FALSE()),"")</f>
        <v/>
      </c>
      <c r="I195" s="5"/>
      <c r="J195" s="5"/>
      <c r="K195" s="5"/>
      <c r="L195" s="7" t="str">
        <f aca="false">IF(ISNUMBER(K195),10-K195,"")</f>
        <v/>
      </c>
      <c r="M195" s="5"/>
      <c r="N195" s="5"/>
      <c r="O195" s="5"/>
      <c r="P195" s="5"/>
      <c r="Q195" s="5"/>
      <c r="R195" s="5"/>
      <c r="S195" s="5"/>
      <c r="T195" s="5"/>
    </row>
    <row r="196" customFormat="false" ht="15" hidden="false" customHeight="false" outlineLevel="0" collapsed="false">
      <c r="A196" s="5"/>
      <c r="B196" s="5"/>
      <c r="C196" s="7" t="str">
        <f aca="false">IFERROR(VLOOKUP(B196,Sessions!$A$2:$C$51,3,FALSE()),"")</f>
        <v/>
      </c>
      <c r="D196" s="5"/>
      <c r="E196" s="5"/>
      <c r="F196" s="5"/>
      <c r="G196" s="5"/>
      <c r="H196" s="8" t="str">
        <f aca="false">IFERROR(G196/VLOOKUP(C196,Subjects!$A$2:$H$31,8,FALSE()),"")</f>
        <v/>
      </c>
      <c r="I196" s="5"/>
      <c r="J196" s="5"/>
      <c r="K196" s="5"/>
      <c r="L196" s="7" t="str">
        <f aca="false">IF(ISNUMBER(K196),10-K196,"")</f>
        <v/>
      </c>
      <c r="M196" s="5"/>
      <c r="N196" s="5"/>
      <c r="O196" s="5"/>
      <c r="P196" s="5"/>
      <c r="Q196" s="5"/>
      <c r="R196" s="5"/>
      <c r="S196" s="5"/>
      <c r="T196" s="5"/>
    </row>
    <row r="197" customFormat="false" ht="15" hidden="false" customHeight="false" outlineLevel="0" collapsed="false">
      <c r="A197" s="5"/>
      <c r="B197" s="5"/>
      <c r="C197" s="7" t="str">
        <f aca="false">IFERROR(VLOOKUP(B197,Sessions!$A$2:$C$51,3,FALSE()),"")</f>
        <v/>
      </c>
      <c r="D197" s="5"/>
      <c r="E197" s="5"/>
      <c r="F197" s="5"/>
      <c r="G197" s="5"/>
      <c r="H197" s="8" t="str">
        <f aca="false">IFERROR(G197/VLOOKUP(C197,Subjects!$A$2:$H$31,8,FALSE()),"")</f>
        <v/>
      </c>
      <c r="I197" s="5"/>
      <c r="J197" s="5"/>
      <c r="K197" s="5"/>
      <c r="L197" s="7" t="str">
        <f aca="false">IF(ISNUMBER(K197),10-K197,"")</f>
        <v/>
      </c>
      <c r="M197" s="5"/>
      <c r="N197" s="5"/>
      <c r="O197" s="5"/>
      <c r="P197" s="5"/>
      <c r="Q197" s="5"/>
      <c r="R197" s="5"/>
      <c r="S197" s="5"/>
      <c r="T197" s="5"/>
    </row>
    <row r="198" customFormat="false" ht="15" hidden="false" customHeight="false" outlineLevel="0" collapsed="false">
      <c r="A198" s="5"/>
      <c r="B198" s="5"/>
      <c r="C198" s="7" t="str">
        <f aca="false">IFERROR(VLOOKUP(B198,Sessions!$A$2:$C$51,3,FALSE()),"")</f>
        <v/>
      </c>
      <c r="D198" s="5"/>
      <c r="E198" s="5"/>
      <c r="F198" s="5"/>
      <c r="G198" s="5"/>
      <c r="H198" s="8" t="str">
        <f aca="false">IFERROR(G198/VLOOKUP(C198,Subjects!$A$2:$H$31,8,FALSE()),"")</f>
        <v/>
      </c>
      <c r="I198" s="5"/>
      <c r="J198" s="5"/>
      <c r="K198" s="5"/>
      <c r="L198" s="7" t="str">
        <f aca="false">IF(ISNUMBER(K198),10-K198,"")</f>
        <v/>
      </c>
      <c r="M198" s="5"/>
      <c r="N198" s="5"/>
      <c r="O198" s="5"/>
      <c r="P198" s="5"/>
      <c r="Q198" s="5"/>
      <c r="R198" s="5"/>
      <c r="S198" s="5"/>
      <c r="T198" s="5"/>
    </row>
    <row r="199" customFormat="false" ht="15" hidden="false" customHeight="false" outlineLevel="0" collapsed="false">
      <c r="A199" s="5"/>
      <c r="B199" s="5"/>
      <c r="C199" s="7" t="str">
        <f aca="false">IFERROR(VLOOKUP(B199,Sessions!$A$2:$C$51,3,FALSE()),"")</f>
        <v/>
      </c>
      <c r="D199" s="5"/>
      <c r="E199" s="5"/>
      <c r="F199" s="5"/>
      <c r="G199" s="5"/>
      <c r="H199" s="8" t="str">
        <f aca="false">IFERROR(G199/VLOOKUP(C199,Subjects!$A$2:$H$31,8,FALSE()),"")</f>
        <v/>
      </c>
      <c r="I199" s="5"/>
      <c r="J199" s="5"/>
      <c r="K199" s="5"/>
      <c r="L199" s="7" t="str">
        <f aca="false">IF(ISNUMBER(K199),10-K199,"")</f>
        <v/>
      </c>
      <c r="M199" s="5"/>
      <c r="N199" s="5"/>
      <c r="O199" s="5"/>
      <c r="P199" s="5"/>
      <c r="Q199" s="5"/>
      <c r="R199" s="5"/>
      <c r="S199" s="5"/>
      <c r="T199" s="5"/>
    </row>
    <row r="200" customFormat="false" ht="15" hidden="false" customHeight="false" outlineLevel="0" collapsed="false">
      <c r="A200" s="5"/>
      <c r="B200" s="5"/>
      <c r="C200" s="7" t="str">
        <f aca="false">IFERROR(VLOOKUP(B200,Sessions!$A$2:$C$51,3,FALSE()),"")</f>
        <v/>
      </c>
      <c r="D200" s="5"/>
      <c r="E200" s="5"/>
      <c r="F200" s="5"/>
      <c r="G200" s="5"/>
      <c r="H200" s="8" t="str">
        <f aca="false">IFERROR(G200/VLOOKUP(C200,Subjects!$A$2:$H$31,8,FALSE()),"")</f>
        <v/>
      </c>
      <c r="I200" s="5"/>
      <c r="J200" s="5"/>
      <c r="K200" s="5"/>
      <c r="L200" s="7" t="str">
        <f aca="false">IF(ISNUMBER(K200),10-K200,"")</f>
        <v/>
      </c>
      <c r="M200" s="5"/>
      <c r="N200" s="5"/>
      <c r="O200" s="5"/>
      <c r="P200" s="5"/>
      <c r="Q200" s="5"/>
      <c r="R200" s="5"/>
      <c r="S200" s="5"/>
      <c r="T200" s="5"/>
    </row>
    <row r="201" customFormat="false" ht="15" hidden="false" customHeight="false" outlineLevel="0" collapsed="false">
      <c r="A201" s="5"/>
      <c r="B201" s="5"/>
      <c r="C201" s="7" t="str">
        <f aca="false">IFERROR(VLOOKUP(B201,Sessions!$A$2:$C$51,3,FALSE()),"")</f>
        <v/>
      </c>
      <c r="D201" s="5"/>
      <c r="E201" s="5"/>
      <c r="F201" s="5"/>
      <c r="G201" s="5"/>
      <c r="H201" s="8" t="str">
        <f aca="false">IFERROR(G201/VLOOKUP(C201,Subjects!$A$2:$H$31,8,FALSE()),"")</f>
        <v/>
      </c>
      <c r="I201" s="5"/>
      <c r="J201" s="5"/>
      <c r="K201" s="5"/>
      <c r="L201" s="7" t="str">
        <f aca="false">IF(ISNUMBER(K201),10-K201,"")</f>
        <v/>
      </c>
      <c r="M201" s="5"/>
      <c r="N201" s="5"/>
      <c r="O201" s="5"/>
      <c r="P201" s="5"/>
      <c r="Q201" s="5"/>
      <c r="R201" s="5"/>
      <c r="S201" s="5"/>
      <c r="T201" s="5"/>
    </row>
  </sheetData>
  <dataValidations count="4">
    <dataValidation allowBlank="true" error="RPEは1〜10の数値で入力してください" errorStyle="stop" errorTitle="入力エラー" operator="between" showDropDown="false" showErrorMessage="false" showInputMessage="false" sqref="K2:K201" type="decimal">
      <formula1>1</formula1>
      <formula2>10</formula2>
    </dataValidation>
    <dataValidation allowBlank="true" errorStyle="stop" operator="between" showDropDown="false" showErrorMessage="false" showInputMessage="false" sqref="M2:M201" type="list">
      <formula1>"Y,N"</formula1>
      <formula2>0</formula2>
    </dataValidation>
    <dataValidation allowBlank="true" errorStyle="stop" operator="between" showDropDown="false" showErrorMessage="false" showInputMessage="false" sqref="N2:N201" type="whole">
      <formula1>1</formula1>
      <formula2>5</formula2>
    </dataValidation>
    <dataValidation allowBlank="true" errorStyle="stop" operator="between" showDropDown="false" showErrorMessage="false" showInputMessage="false" sqref="B2:B201" type="list">
      <formula1>Sessions!$A$2:$A$51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4" min="4" style="0" width="8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9" t="s">
        <v>92</v>
      </c>
      <c r="D1" s="9" t="s">
        <v>93</v>
      </c>
    </row>
    <row r="3" customFormat="false" ht="15" hidden="false" customHeight="false" outlineLevel="0" collapsed="false">
      <c r="A3" s="10" t="n">
        <v>10</v>
      </c>
      <c r="B3" s="11" t="s">
        <v>94</v>
      </c>
      <c r="D3" s="10" t="n">
        <v>5</v>
      </c>
      <c r="E3" s="12" t="s">
        <v>95</v>
      </c>
    </row>
    <row r="4" customFormat="false" ht="15" hidden="false" customHeight="false" outlineLevel="0" collapsed="false">
      <c r="A4" s="10" t="n">
        <v>9.5</v>
      </c>
      <c r="B4" s="11" t="s">
        <v>96</v>
      </c>
      <c r="D4" s="10" t="n">
        <v>4</v>
      </c>
      <c r="E4" s="12" t="s">
        <v>97</v>
      </c>
    </row>
    <row r="5" customFormat="false" ht="15" hidden="false" customHeight="false" outlineLevel="0" collapsed="false">
      <c r="A5" s="10" t="n">
        <v>9</v>
      </c>
      <c r="B5" s="11" t="s">
        <v>98</v>
      </c>
      <c r="D5" s="10" t="n">
        <v>3</v>
      </c>
      <c r="E5" s="12" t="s">
        <v>99</v>
      </c>
    </row>
    <row r="6" customFormat="false" ht="15" hidden="false" customHeight="false" outlineLevel="0" collapsed="false">
      <c r="A6" s="10" t="n">
        <v>8.5</v>
      </c>
      <c r="B6" s="11" t="s">
        <v>100</v>
      </c>
      <c r="D6" s="10" t="n">
        <v>2</v>
      </c>
      <c r="E6" s="12" t="s">
        <v>101</v>
      </c>
    </row>
    <row r="7" customFormat="false" ht="15" hidden="false" customHeight="false" outlineLevel="0" collapsed="false">
      <c r="A7" s="10" t="n">
        <v>8</v>
      </c>
      <c r="B7" s="11" t="s">
        <v>102</v>
      </c>
      <c r="D7" s="10" t="n">
        <v>1</v>
      </c>
      <c r="E7" s="12" t="s">
        <v>103</v>
      </c>
    </row>
    <row r="8" customFormat="false" ht="15" hidden="false" customHeight="false" outlineLevel="0" collapsed="false">
      <c r="A8" s="10" t="n">
        <v>7.5</v>
      </c>
      <c r="B8" s="11" t="s">
        <v>104</v>
      </c>
    </row>
    <row r="9" customFormat="false" ht="15" hidden="false" customHeight="false" outlineLevel="0" collapsed="false">
      <c r="A9" s="10" t="n">
        <v>7</v>
      </c>
      <c r="B9" s="11" t="s">
        <v>105</v>
      </c>
    </row>
    <row r="10" customFormat="false" ht="15" hidden="false" customHeight="false" outlineLevel="0" collapsed="false">
      <c r="A10" s="10" t="n">
        <v>6</v>
      </c>
      <c r="B10" s="11" t="s">
        <v>106</v>
      </c>
    </row>
    <row r="11" customFormat="false" ht="15" hidden="false" customHeight="false" outlineLevel="0" collapsed="false">
      <c r="A11" s="10" t="n">
        <v>5</v>
      </c>
      <c r="B11" s="1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2026-05-19T06:30:30Z</dcterms:created>
  <dc:creator>openpyxl</dc:creator>
  <dc:description/>
  <dc:language>en-US</dc:language>
  <cp:lastModifiedBy/>
  <dcterms:modified xsi:type="dcterms:W3CDTF">2026-05-19T06:30:30Z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